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ggyunmo/Documents/NOVO.S_Study/日本語/スキルシート/"/>
    </mc:Choice>
  </mc:AlternateContent>
  <xr:revisionPtr revIDLastSave="0" documentId="8_{BA4DAB92-FF1E-EA4C-A706-A91EC159894D}" xr6:coauthVersionLast="47" xr6:coauthVersionMax="47" xr10:uidLastSave="{00000000-0000-0000-0000-000000000000}"/>
  <bookViews>
    <workbookView xWindow="0" yWindow="680" windowWidth="34560" windowHeight="20480" xr2:uid="{00000000-000D-0000-FFFF-FFFF00000000}"/>
  </bookViews>
  <sheets>
    <sheet name="202511" sheetId="9" r:id="rId1"/>
    <sheet name="2025원본" sheetId="8" r:id="rId2"/>
  </sheets>
  <definedNames>
    <definedName name="_xlnm.Print_Area" localSheetId="0">'202511'!$A:$AD</definedName>
    <definedName name="_xlnm.Print_Area" localSheetId="1">'2025원본'!$A:$AD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4" i="9" l="1"/>
  <c r="AF14" i="9"/>
  <c r="Q14" i="9"/>
  <c r="Q16" i="9"/>
  <c r="AI14" i="9" l="1"/>
  <c r="AJ14" i="9" s="1"/>
  <c r="P15" i="9" s="1"/>
  <c r="AK14" i="9" l="1"/>
  <c r="Y4" i="9" l="1"/>
  <c r="AH20" i="9" l="1"/>
  <c r="AI20" i="9" s="1"/>
  <c r="AG20" i="9"/>
  <c r="AF20" i="9"/>
  <c r="AH18" i="9"/>
  <c r="AI18" i="9" s="1"/>
  <c r="AG18" i="9"/>
  <c r="AF18" i="9"/>
  <c r="AH16" i="9"/>
  <c r="AF16" i="9"/>
  <c r="B2" i="9"/>
  <c r="Y4" i="8"/>
  <c r="AH28" i="8"/>
  <c r="AG28" i="8"/>
  <c r="AF28" i="8"/>
  <c r="Q28" i="8"/>
  <c r="AH26" i="8"/>
  <c r="AG26" i="8"/>
  <c r="AF26" i="8"/>
  <c r="Q26" i="8"/>
  <c r="B26" i="8"/>
  <c r="B24" i="8" s="1"/>
  <c r="B22" i="8" s="1"/>
  <c r="B20" i="8" s="1"/>
  <c r="B18" i="8" s="1"/>
  <c r="B16" i="8" s="1"/>
  <c r="B14" i="8" s="1"/>
  <c r="AH24" i="8"/>
  <c r="AG24" i="8"/>
  <c r="AF24" i="8"/>
  <c r="Q24" i="8"/>
  <c r="AH22" i="8"/>
  <c r="AG22" i="8"/>
  <c r="AF22" i="8"/>
  <c r="AI22" i="8" s="1"/>
  <c r="Q22" i="8"/>
  <c r="AH20" i="8"/>
  <c r="AG20" i="8"/>
  <c r="AF20" i="8"/>
  <c r="Q20" i="8"/>
  <c r="AH18" i="8"/>
  <c r="AG18" i="8"/>
  <c r="AF18" i="8"/>
  <c r="Q18" i="8"/>
  <c r="AH16" i="8"/>
  <c r="AG16" i="8"/>
  <c r="AF16" i="8"/>
  <c r="Q16" i="8"/>
  <c r="AH14" i="8"/>
  <c r="AG14" i="8"/>
  <c r="AF14" i="8"/>
  <c r="Q14" i="8"/>
  <c r="AF3" i="8"/>
  <c r="B2" i="8"/>
  <c r="AF4" i="8" s="1"/>
  <c r="AF4" i="9" l="1"/>
  <c r="Q4" i="9"/>
  <c r="AI16" i="9"/>
  <c r="AJ16" i="9" s="1"/>
  <c r="P17" i="9" s="1"/>
  <c r="AJ18" i="9"/>
  <c r="AJ20" i="9"/>
  <c r="AI28" i="8"/>
  <c r="AJ28" i="8" s="1"/>
  <c r="P29" i="8" s="1"/>
  <c r="AI14" i="8"/>
  <c r="AJ14" i="8" s="1"/>
  <c r="AI18" i="8"/>
  <c r="AJ18" i="8" s="1"/>
  <c r="P19" i="8" s="1"/>
  <c r="AI16" i="8"/>
  <c r="AJ16" i="8" s="1"/>
  <c r="AI20" i="8"/>
  <c r="AJ20" i="8" s="1"/>
  <c r="P21" i="8" s="1"/>
  <c r="AI26" i="8"/>
  <c r="AJ26" i="8" s="1"/>
  <c r="P27" i="8" s="1"/>
  <c r="AI24" i="8"/>
  <c r="AJ24" i="8" s="1"/>
  <c r="AJ22" i="8"/>
  <c r="Q4" i="8"/>
  <c r="AK18" i="9" l="1"/>
  <c r="AK16" i="9"/>
  <c r="AK20" i="9"/>
  <c r="AK24" i="8"/>
  <c r="P25" i="8" s="1"/>
  <c r="AK18" i="8"/>
  <c r="AK26" i="8"/>
  <c r="AK16" i="8"/>
  <c r="P17" i="8" s="1"/>
  <c r="AK20" i="8"/>
  <c r="AK22" i="8"/>
  <c r="P23" i="8" s="1"/>
  <c r="AK14" i="8"/>
  <c r="P15" i="8" s="1"/>
  <c r="AK2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崔 煕讃</author>
  </authors>
  <commentList>
    <comment ref="V6" authorId="0" shapeId="0" xr:uid="{E769BAED-10E7-DC43-AE5B-C7C9CB7DA974}">
      <text>
        <r>
          <rPr>
            <b/>
            <sz val="10"/>
            <color rgb="FF000000"/>
            <rFont val="맑은 고딕"/>
            <family val="2"/>
            <charset val="129"/>
            <scheme val="minor"/>
          </rPr>
          <t>崔</t>
        </r>
        <r>
          <rPr>
            <b/>
            <sz val="10"/>
            <color rgb="FF000000"/>
            <rFont val="Yu Gothic UI"/>
            <family val="2"/>
            <charset val="128"/>
          </rPr>
          <t xml:space="preserve"> </t>
        </r>
        <r>
          <rPr>
            <b/>
            <sz val="10"/>
            <color rgb="FF000000"/>
            <rFont val="맑은 고딕"/>
            <family val="2"/>
            <charset val="129"/>
            <scheme val="minor"/>
          </rPr>
          <t>煕讃</t>
        </r>
        <r>
          <rPr>
            <b/>
            <sz val="10"/>
            <color rgb="FF000000"/>
            <rFont val="Yu Gothic UI"/>
            <family val="2"/>
            <charset val="128"/>
          </rPr>
          <t>:</t>
        </r>
        <r>
          <rPr>
            <sz val="10"/>
            <color rgb="FF000000"/>
            <rFont val="Yu Gothic UI"/>
            <family val="2"/>
            <charset val="128"/>
          </rPr>
          <t xml:space="preserve">
</t>
        </r>
        <r>
          <rPr>
            <sz val="10"/>
            <color rgb="FF000000"/>
            <rFont val="맑은 고딕"/>
            <family val="2"/>
            <charset val="129"/>
            <scheme val="minor"/>
          </rPr>
          <t>上：</t>
        </r>
        <r>
          <rPr>
            <sz val="10"/>
            <color rgb="FF000000"/>
            <rFont val="Yu Gothic UI"/>
            <family val="2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崔 煕讃</author>
  </authors>
  <commentList>
    <comment ref="V6" authorId="0" shapeId="0" xr:uid="{73BC0E3A-E557-40A8-BF25-06E3F23EE8A7}">
      <text>
        <r>
          <rPr>
            <b/>
            <sz val="10"/>
            <color rgb="FF000000"/>
            <rFont val="游ゴシック"/>
            <family val="3"/>
            <charset val="128"/>
          </rPr>
          <t>崔</t>
        </r>
        <r>
          <rPr>
            <b/>
            <sz val="10"/>
            <color rgb="FF000000"/>
            <rFont val="Yu Gothic UI"/>
            <family val="2"/>
            <charset val="128"/>
          </rPr>
          <t xml:space="preserve"> </t>
        </r>
        <r>
          <rPr>
            <b/>
            <sz val="10"/>
            <color rgb="FF000000"/>
            <rFont val="游ゴシック"/>
            <family val="3"/>
            <charset val="128"/>
          </rPr>
          <t>煕讃</t>
        </r>
        <r>
          <rPr>
            <b/>
            <sz val="10"/>
            <color rgb="FF000000"/>
            <rFont val="Yu Gothic UI"/>
            <family val="2"/>
            <charset val="128"/>
          </rPr>
          <t>:</t>
        </r>
        <r>
          <rPr>
            <sz val="10"/>
            <color rgb="FF000000"/>
            <rFont val="Yu Gothic UI"/>
            <family val="2"/>
            <charset val="128"/>
          </rPr>
          <t xml:space="preserve">
</t>
        </r>
        <r>
          <rPr>
            <sz val="10"/>
            <color rgb="FF000000"/>
            <rFont val="游ゴシック"/>
            <family val="3"/>
            <charset val="128"/>
          </rPr>
          <t>上：</t>
        </r>
        <r>
          <rPr>
            <sz val="10"/>
            <color rgb="FF000000"/>
            <rFont val="Yu Gothic UI"/>
            <family val="2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<sst xmlns="http://schemas.openxmlformats.org/spreadsheetml/2006/main" count="150" uniqueCount="74">
  <si>
    <t>&lt;&lt; 技術者業務経歴書 &gt;&gt;</t>
    <rPh sb="0" eb="14">
      <t>ギョウm</t>
    </rPh>
    <phoneticPr fontId="1"/>
  </si>
  <si>
    <t>生年月日</t>
  </si>
  <si>
    <t>年齢</t>
  </si>
  <si>
    <t>最終学歴</t>
  </si>
  <si>
    <t>認定試験</t>
  </si>
  <si>
    <t>ﾌﾘｶﾞﾅ</t>
    <phoneticPr fontId="1"/>
  </si>
  <si>
    <t>氏名</t>
    <phoneticPr fontId="1"/>
  </si>
  <si>
    <t>住所</t>
    <phoneticPr fontId="1"/>
  </si>
  <si>
    <t>（最寄駅）</t>
    <rPh sb="0" eb="5">
      <t>モヨr</t>
    </rPh>
    <phoneticPr fontId="1"/>
  </si>
  <si>
    <t>日本語</t>
    <phoneticPr fontId="1"/>
  </si>
  <si>
    <t>性別</t>
    <phoneticPr fontId="1"/>
  </si>
  <si>
    <t>男性</t>
    <rPh sb="0" eb="2">
      <t>ダンセ</t>
    </rPh>
    <phoneticPr fontId="1"/>
  </si>
  <si>
    <t>経験年数</t>
    <phoneticPr fontId="1"/>
  </si>
  <si>
    <t>業務経歴</t>
    <rPh sb="0" eb="4">
      <t>ギョウm</t>
    </rPh>
    <phoneticPr fontId="1"/>
  </si>
  <si>
    <t>担当役割</t>
  </si>
  <si>
    <t>PC</t>
    <phoneticPr fontId="1"/>
  </si>
  <si>
    <t>担当工程</t>
    <rPh sb="0" eb="1">
      <t>コ</t>
    </rPh>
    <phoneticPr fontId="1"/>
  </si>
  <si>
    <t>No</t>
    <phoneticPr fontId="1"/>
  </si>
  <si>
    <t>作業内容</t>
    <rPh sb="0" eb="4">
      <t>サギョ</t>
    </rPh>
    <phoneticPr fontId="1"/>
  </si>
  <si>
    <t>役割</t>
    <rPh sb="0" eb="2">
      <t>ヤクワr</t>
    </rPh>
    <phoneticPr fontId="1"/>
  </si>
  <si>
    <t>工程</t>
    <rPh sb="0" eb="2">
      <t>コウテ</t>
    </rPh>
    <phoneticPr fontId="1"/>
  </si>
  <si>
    <t>機種</t>
    <rPh sb="0" eb="2">
      <t>キsy</t>
    </rPh>
    <phoneticPr fontId="1"/>
  </si>
  <si>
    <t>言語</t>
    <rPh sb="0" eb="2">
      <t>ゲンg</t>
    </rPh>
    <phoneticPr fontId="1"/>
  </si>
  <si>
    <t>~</t>
    <phoneticPr fontId="1"/>
  </si>
  <si>
    <t>期間</t>
    <rPh sb="0" eb="2">
      <t>キカn</t>
    </rPh>
    <phoneticPr fontId="1"/>
  </si>
  <si>
    <t>OS(Tools) / DB</t>
    <phoneticPr fontId="1"/>
  </si>
  <si>
    <t>開始</t>
    <rPh sb="0" eb="2">
      <t>カイシ</t>
    </rPh>
    <phoneticPr fontId="1"/>
  </si>
  <si>
    <t>Server</t>
    <phoneticPr fontId="1"/>
  </si>
  <si>
    <t>PG</t>
    <phoneticPr fontId="1"/>
  </si>
  <si>
    <t>京王多摩川駅</t>
    <rPh sb="0" eb="2">
      <t>ケイオウ</t>
    </rPh>
    <rPh sb="2" eb="5">
      <t xml:space="preserve">タマガワ </t>
    </rPh>
    <phoneticPr fontId="1"/>
  </si>
  <si>
    <t>東京都調布市多摩川</t>
    <rPh sb="0" eb="1">
      <t>シn</t>
    </rPh>
    <phoneticPr fontId="1"/>
  </si>
  <si>
    <t>C#, ASP.Net, JavaScript</t>
    <phoneticPr fontId="1"/>
  </si>
  <si>
    <t>Shell script</t>
    <phoneticPr fontId="10" type="noConversion"/>
  </si>
  <si>
    <r>
      <rPr>
        <sz val="11"/>
        <color theme="1"/>
        <rFont val="맑은 고딕"/>
        <family val="2"/>
        <charset val="129"/>
      </rPr>
      <t>CHUNG MINGYO</t>
    </r>
    <r>
      <rPr>
        <sz val="11"/>
        <color theme="1"/>
        <rFont val="Meiryo UI"/>
        <family val="2"/>
        <charset val="128"/>
      </rPr>
      <t>　(ジョン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Meiryo UI"/>
        <family val="2"/>
        <charset val="128"/>
      </rPr>
      <t>ミンギョ)</t>
    </r>
    <phoneticPr fontId="1"/>
  </si>
  <si>
    <r>
      <rPr>
        <sz val="11"/>
        <color theme="1"/>
        <rFont val="맑은 고딕"/>
        <family val="2"/>
        <charset val="129"/>
      </rPr>
      <t>鄭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民敎</t>
    </r>
    <phoneticPr fontId="1"/>
  </si>
  <si>
    <t>日本語(中)</t>
    <phoneticPr fontId="1"/>
  </si>
  <si>
    <t>専門大学卒業（韓国）</t>
    <rPh sb="0" eb="4">
      <t>（</t>
    </rPh>
    <phoneticPr fontId="1"/>
  </si>
  <si>
    <t>無し</t>
    <phoneticPr fontId="1"/>
  </si>
  <si>
    <t xml:space="preserve"> PL (ﾌﾟﾛｼﾞｪｸﾄリーダ )、 PG (ﾌﾟﾛｸﾞﾗﾏ)</t>
    <phoneticPr fontId="1"/>
  </si>
  <si>
    <t xml:space="preserve">１.調査分析 ２.基本設計  ４.プログラミング </t>
    <phoneticPr fontId="1"/>
  </si>
  <si>
    <t xml:space="preserve">       ５.単体テスト ８.保守､運用 ９.環境構築 Ａ.導入・支援</t>
    <phoneticPr fontId="1"/>
  </si>
  <si>
    <t>[工場管理プログラム](韓国)</t>
    <rPh sb="1" eb="3">
      <t>ショウケン</t>
    </rPh>
    <rPh sb="3" eb="4">
      <t>セイゾウ</t>
    </rPh>
    <phoneticPr fontId="1"/>
  </si>
  <si>
    <t>MESプログラムのメンテナンス作業
対象企業とのミーティング後の要求事項整理、プログラム改善作業</t>
    <rPh sb="12" eb="14">
      <t>タイオウ</t>
    </rPh>
    <phoneticPr fontId="1"/>
  </si>
  <si>
    <t>Windows10, 
Visual Studio, DevExpress,
Oracle</t>
    <phoneticPr fontId="1"/>
  </si>
  <si>
    <t>C#</t>
    <phoneticPr fontId="1"/>
  </si>
  <si>
    <t>Windows Server 2022,
Windows10,  VisualStudio,
DevExpress,MySQL</t>
    <phoneticPr fontId="1"/>
  </si>
  <si>
    <r>
      <t>Windows Server 2022,
Windows10,  VisualStudio,
DevExpress,M</t>
    </r>
    <r>
      <rPr>
        <sz val="11"/>
        <color theme="1"/>
        <rFont val="맑은 고딕"/>
        <family val="2"/>
        <charset val="129"/>
      </rPr>
      <t>s</t>
    </r>
    <r>
      <rPr>
        <sz val="11"/>
        <color theme="1"/>
        <rFont val="Meiryo UI"/>
        <family val="2"/>
        <charset val="128"/>
      </rPr>
      <t>SQL</t>
    </r>
    <phoneticPr fontId="1"/>
  </si>
  <si>
    <r>
      <t xml:space="preserve">Windows10, 
Snowflake,
</t>
    </r>
    <r>
      <rPr>
        <sz val="9"/>
        <color theme="1"/>
        <rFont val="Meiryo UI"/>
        <family val="2"/>
        <charset val="128"/>
      </rPr>
      <t>Tera Term</t>
    </r>
    <phoneticPr fontId="1"/>
  </si>
  <si>
    <t>製品維持補修システム (WEB)</t>
    <phoneticPr fontId="1"/>
  </si>
  <si>
    <t>[通信業]（日本）</t>
    <rPh sb="0" eb="1">
      <t>イリョ</t>
    </rPh>
    <phoneticPr fontId="1"/>
  </si>
  <si>
    <t>先払い決済サービスの運営
モニタリング、総計調査、データ抽出メンテナンス（日本）</t>
    <rPh sb="0" eb="2">
      <t>カイｓｙア</t>
    </rPh>
    <rPh sb="10" eb="12">
      <t>カイシュウ</t>
    </rPh>
    <phoneticPr fontId="1"/>
  </si>
  <si>
    <t>MES新規開発業務
サーバセッティング業務</t>
    <rPh sb="0" eb="3">
      <t>ギョウ</t>
    </rPh>
    <phoneticPr fontId="1"/>
  </si>
  <si>
    <t>MES新規開発業務
サーバセッティング業務
 PADプログラム開発</t>
    <rPh sb="6" eb="8">
      <t>ｋア</t>
    </rPh>
    <phoneticPr fontId="1"/>
  </si>
  <si>
    <r>
      <t>MES新規開発業務
サーバセッティング業務
 PAD</t>
    </r>
    <r>
      <rPr>
        <sz val="11"/>
        <color theme="1"/>
        <rFont val="맑은 고딕"/>
        <family val="2"/>
        <charset val="129"/>
      </rPr>
      <t>,kiosk</t>
    </r>
    <r>
      <rPr>
        <sz val="11"/>
        <color theme="1"/>
        <rFont val="Meiryo UI"/>
        <family val="2"/>
        <charset val="128"/>
      </rPr>
      <t>プログラム開発</t>
    </r>
    <rPh sb="0" eb="2">
      <t xml:space="preserve">セイゾウギョ </t>
    </rPh>
    <rPh sb="3" eb="5">
      <t>セイサｎン</t>
    </rPh>
    <rPh sb="5" eb="7">
      <t>ｋア</t>
    </rPh>
    <phoneticPr fontId="1"/>
  </si>
  <si>
    <t>PL</t>
    <phoneticPr fontId="1"/>
  </si>
  <si>
    <t>PG (ﾌﾟﾛｸﾞﾗﾏ)</t>
    <phoneticPr fontId="1"/>
  </si>
  <si>
    <t>日本語 (中)</t>
    <phoneticPr fontId="1"/>
  </si>
  <si>
    <t>4年制大学卒業（韓国）</t>
    <rPh sb="0" eb="4">
      <t>（</t>
    </rPh>
    <phoneticPr fontId="1"/>
  </si>
  <si>
    <t xml:space="preserve">１.調査分析 ２.基本設計 3.詳細設計４.プログラミング </t>
    <phoneticPr fontId="1"/>
  </si>
  <si>
    <t>CHOI HAMIN</t>
    <phoneticPr fontId="1"/>
  </si>
  <si>
    <t>チェ　ハミン</t>
    <phoneticPr fontId="1"/>
  </si>
  <si>
    <t>高幡不動駅</t>
    <rPh sb="0" eb="2">
      <t>ケイオウ</t>
    </rPh>
    <rPh sb="2" eb="5">
      <t xml:space="preserve">タマガワ </t>
    </rPh>
    <phoneticPr fontId="1"/>
  </si>
  <si>
    <t xml:space="preserve">JLPT（日本語能力試験）　N2
</t>
    <phoneticPr fontId="1"/>
  </si>
  <si>
    <t>担当役割</t>
    <phoneticPr fontId="10" type="noConversion"/>
  </si>
  <si>
    <t>【ショッピングモールシステム】（日本）</t>
    <rPh sb="1" eb="3">
      <t>ショウケン</t>
    </rPh>
    <rPh sb="3" eb="4">
      <t>セイゾウ</t>
    </rPh>
    <phoneticPr fontId="1"/>
  </si>
  <si>
    <t>東京都日野市</t>
    <rPh sb="0" eb="1">
      <t>シn</t>
    </rPh>
    <phoneticPr fontId="1"/>
  </si>
  <si>
    <t xml:space="preserve">５.単体テスト </t>
    <phoneticPr fontId="1"/>
  </si>
  <si>
    <t>[会社広報ホームページ] (日本)</t>
    <rPh sb="1" eb="3">
      <t>ショウケン</t>
    </rPh>
    <rPh sb="3" eb="4">
      <t>セイゾウ</t>
    </rPh>
    <phoneticPr fontId="1"/>
  </si>
  <si>
    <t>Windows Server 2022,
Windows11, 
VisualStudio,
MsSQL</t>
    <phoneticPr fontId="1"/>
  </si>
  <si>
    <t>React,
Spring Boot</t>
    <phoneticPr fontId="1"/>
  </si>
  <si>
    <t>反応型インターフェース設計(WEB)</t>
    <rPh sb="0" eb="3">
      <t>ギョウ</t>
    </rPh>
    <phoneticPr fontId="1"/>
  </si>
  <si>
    <t>Windows,
Eclipse,
Visual Studio</t>
  </si>
  <si>
    <t>Java, JavaScript
Spring Boot, Thymeleaf</t>
  </si>
  <si>
    <t>顧客用のサーブレットとセッションを利用した機能の実装を担当
· 顧客用カート機能の実装
· 電子決済機能の実現
· 顧客マイページと会員情報修正機能の実装
· メールアドレスを利用したIDを探す機能の実装</t>
    <rPh sb="0" eb="3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</si>
</sst>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&quot;歳&quot;"/>
    <numFmt numFmtId="177" formatCode="0&quot;年&quot;"/>
    <numFmt numFmtId="178" formatCode="yy&quot;年&quot;mm&quot;ヶ月&quot;;@"/>
    <numFmt numFmtId="179" formatCode="yy\.m"/>
    <numFmt numFmtId="180" formatCode="[$-411]ge\.m"/>
    <numFmt numFmtId="181" formatCode="0&quot;ヶ月&quot;"/>
    <numFmt numFmtId="182" formatCode="yyyy&quot;年&quot;m&quot;月&quot;;@"/>
  </numFmts>
  <fonts count="17">
    <font>
      <sz val="12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2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sz val="10"/>
      <color rgb="FF000000"/>
      <name val="Yu Gothic UI"/>
      <family val="2"/>
      <charset val="128"/>
    </font>
    <font>
      <b/>
      <sz val="10"/>
      <color rgb="FF000000"/>
      <name val="Yu Gothic UI"/>
      <family val="2"/>
      <charset val="128"/>
    </font>
    <font>
      <sz val="11"/>
      <color theme="1"/>
      <name val="Meiryo UI"/>
      <family val="2"/>
      <charset val="128"/>
    </font>
    <font>
      <sz val="11"/>
      <color indexed="64"/>
      <name val="ＭＳ 明朝"/>
      <family val="1"/>
      <charset val="128"/>
    </font>
    <font>
      <b/>
      <sz val="10"/>
      <color rgb="FF00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8"/>
      <name val="맑은 고딕"/>
      <family val="3"/>
      <charset val="129"/>
      <scheme val="minor"/>
    </font>
    <font>
      <sz val="9"/>
      <color theme="1"/>
      <name val="Meiryo UI"/>
      <family val="2"/>
      <charset val="128"/>
    </font>
    <font>
      <sz val="11"/>
      <color theme="1"/>
      <name val="Meiryo UI"/>
      <family val="2"/>
      <charset val="129"/>
    </font>
    <font>
      <sz val="11"/>
      <color theme="1"/>
      <name val="맑은 고딕"/>
      <family val="2"/>
      <charset val="129"/>
    </font>
    <font>
      <b/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1"/>
      <color indexed="64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58" fontId="2" fillId="0" borderId="0" xfId="0" applyNumberFormat="1" applyFont="1">
      <alignment vertical="center"/>
    </xf>
    <xf numFmtId="0" fontId="6" fillId="0" borderId="0" xfId="0" applyFont="1">
      <alignment vertical="center"/>
    </xf>
    <xf numFmtId="180" fontId="7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81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right" vertical="center"/>
    </xf>
    <xf numFmtId="55" fontId="6" fillId="0" borderId="0" xfId="0" applyNumberFormat="1" applyFont="1" applyAlignment="1">
      <alignment vertical="center" shrinkToFit="1"/>
    </xf>
    <xf numFmtId="0" fontId="6" fillId="0" borderId="14" xfId="0" applyFont="1" applyBorder="1" applyAlignment="1">
      <alignment horizontal="center" vertical="center"/>
    </xf>
    <xf numFmtId="179" fontId="6" fillId="0" borderId="13" xfId="0" applyNumberFormat="1" applyFont="1" applyBorder="1" applyAlignment="1">
      <alignment horizontal="center" vertical="center"/>
    </xf>
    <xf numFmtId="179" fontId="6" fillId="0" borderId="15" xfId="0" applyNumberFormat="1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11" xfId="0" applyFont="1" applyBorder="1">
      <alignment vertical="center"/>
    </xf>
    <xf numFmtId="181" fontId="6" fillId="0" borderId="0" xfId="0" applyNumberFormat="1" applyFo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8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181" fontId="16" fillId="0" borderId="0" xfId="0" applyNumberFormat="1" applyFont="1">
      <alignment vertical="center"/>
    </xf>
    <xf numFmtId="177" fontId="16" fillId="0" borderId="0" xfId="0" applyNumberFormat="1" applyFont="1" applyAlignment="1">
      <alignment horizontal="right" vertical="center"/>
    </xf>
    <xf numFmtId="178" fontId="6" fillId="0" borderId="4" xfId="0" applyNumberFormat="1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78" fontId="6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182" fontId="6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1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179" fontId="6" fillId="0" borderId="10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79" fontId="6" fillId="0" borderId="17" xfId="0" applyNumberFormat="1" applyFont="1" applyBorder="1" applyAlignment="1">
      <alignment horizontal="center" vertical="center"/>
    </xf>
    <xf numFmtId="179" fontId="6" fillId="0" borderId="19" xfId="0" applyNumberFormat="1" applyFont="1" applyBorder="1" applyAlignment="1">
      <alignment horizontal="center" vertical="center"/>
    </xf>
    <xf numFmtId="179" fontId="6" fillId="0" borderId="18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A1FF-2157-4B49-8CE6-E8C77AE6FB37}">
  <sheetPr>
    <pageSetUpPr fitToPage="1"/>
  </sheetPr>
  <dimension ref="B1:AW21"/>
  <sheetViews>
    <sheetView tabSelected="1" zoomScale="110" zoomScaleNormal="110" workbookViewId="0">
      <selection activeCell="B1" sqref="B1:AD1"/>
    </sheetView>
  </sheetViews>
  <sheetFormatPr baseColWidth="10" defaultColWidth="3.7109375" defaultRowHeight="18"/>
  <cols>
    <col min="1" max="1" width="0.85546875" style="1" customWidth="1"/>
    <col min="2" max="2" width="3.7109375" style="1" customWidth="1"/>
    <col min="3" max="9" width="3.7109375" style="1"/>
    <col min="10" max="10" width="5.5703125" style="1" customWidth="1"/>
    <col min="11" max="11" width="3.7109375" style="1" customWidth="1"/>
    <col min="12" max="12" width="3.7109375" style="1"/>
    <col min="13" max="13" width="3.85546875" style="1" bestFit="1" customWidth="1"/>
    <col min="14" max="14" width="3.7109375" style="1"/>
    <col min="15" max="15" width="3" style="1" customWidth="1"/>
    <col min="16" max="16" width="6.7109375" style="1" customWidth="1"/>
    <col min="17" max="17" width="3.28515625" style="1" customWidth="1"/>
    <col min="18" max="18" width="6.7109375" style="1" customWidth="1"/>
    <col min="19" max="31" width="3.7109375" style="1"/>
    <col min="32" max="32" width="7.7109375" style="1" customWidth="1"/>
    <col min="33" max="33" width="5.42578125" style="1" customWidth="1"/>
    <col min="34" max="34" width="8" style="1" customWidth="1"/>
    <col min="35" max="35" width="7" style="1" customWidth="1"/>
    <col min="36" max="36" width="4.140625" style="1" bestFit="1" customWidth="1"/>
    <col min="37" max="37" width="6.140625" style="1" customWidth="1"/>
    <col min="38" max="48" width="3.7109375" style="1"/>
    <col min="49" max="49" width="15.85546875" style="1" bestFit="1" customWidth="1"/>
    <col min="50" max="16384" width="3.7109375" style="1"/>
  </cols>
  <sheetData>
    <row r="1" spans="2:49" ht="28" customHeight="1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2:49">
      <c r="B2" s="25">
        <f ca="1">TODAY()</f>
        <v>46009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2:49" s="3" customFormat="1" ht="20" customHeight="1">
      <c r="B3" s="26" t="s">
        <v>5</v>
      </c>
      <c r="C3" s="26"/>
      <c r="D3" s="26"/>
      <c r="E3" s="27" t="s">
        <v>59</v>
      </c>
      <c r="F3" s="28"/>
      <c r="G3" s="28"/>
      <c r="H3" s="28"/>
      <c r="I3" s="28"/>
      <c r="J3" s="28"/>
      <c r="K3" s="28"/>
      <c r="L3" s="28"/>
      <c r="M3" s="28"/>
      <c r="N3" s="26" t="s">
        <v>1</v>
      </c>
      <c r="O3" s="26"/>
      <c r="P3" s="26"/>
      <c r="Q3" s="29">
        <v>36574</v>
      </c>
      <c r="R3" s="29"/>
      <c r="S3" s="29"/>
      <c r="T3" s="29"/>
      <c r="U3" s="29"/>
      <c r="V3" s="26" t="s">
        <v>10</v>
      </c>
      <c r="W3" s="26"/>
      <c r="X3" s="26"/>
      <c r="Y3" s="26" t="s">
        <v>11</v>
      </c>
      <c r="Z3" s="26"/>
      <c r="AA3" s="26"/>
      <c r="AB3" s="26"/>
      <c r="AC3" s="26"/>
      <c r="AD3" s="26"/>
      <c r="AF3" s="8"/>
    </row>
    <row r="4" spans="2:49" s="3" customFormat="1" ht="20" customHeight="1">
      <c r="B4" s="26" t="s">
        <v>6</v>
      </c>
      <c r="C4" s="26"/>
      <c r="D4" s="26"/>
      <c r="E4" s="28" t="s">
        <v>60</v>
      </c>
      <c r="F4" s="28"/>
      <c r="G4" s="28"/>
      <c r="H4" s="28"/>
      <c r="I4" s="28"/>
      <c r="J4" s="28"/>
      <c r="K4" s="28"/>
      <c r="L4" s="28"/>
      <c r="M4" s="28"/>
      <c r="N4" s="26" t="s">
        <v>2</v>
      </c>
      <c r="O4" s="26"/>
      <c r="P4" s="26"/>
      <c r="Q4" s="30">
        <f ca="1">DATEDIF(Q3,B2,"Y")</f>
        <v>25</v>
      </c>
      <c r="R4" s="30"/>
      <c r="S4" s="30"/>
      <c r="T4" s="30"/>
      <c r="U4" s="30"/>
      <c r="V4" s="26" t="s">
        <v>12</v>
      </c>
      <c r="W4" s="26"/>
      <c r="X4" s="26"/>
      <c r="Y4" s="21">
        <f ca="1">NOW()-AH4</f>
        <v>200.89785127314826</v>
      </c>
      <c r="Z4" s="22"/>
      <c r="AA4" s="22"/>
      <c r="AB4" s="22"/>
      <c r="AC4" s="22"/>
      <c r="AD4" s="23"/>
      <c r="AF4" s="14" t="str">
        <f>IF(P18&lt;&gt;"",DATEDIF(P18,B2,"M")+1,"")</f>
        <v/>
      </c>
      <c r="AG4" s="3" t="s">
        <v>26</v>
      </c>
      <c r="AH4" s="8">
        <v>45809</v>
      </c>
    </row>
    <row r="5" spans="2:49" s="3" customFormat="1" ht="20" customHeight="1">
      <c r="B5" s="26" t="s">
        <v>7</v>
      </c>
      <c r="C5" s="26"/>
      <c r="D5" s="26"/>
      <c r="E5" s="28" t="s">
        <v>65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6" t="s">
        <v>8</v>
      </c>
      <c r="R5" s="26"/>
      <c r="S5" s="26"/>
      <c r="T5" s="26"/>
      <c r="U5" s="26"/>
      <c r="V5" s="28" t="s">
        <v>61</v>
      </c>
      <c r="W5" s="28"/>
      <c r="X5" s="28"/>
      <c r="Y5" s="28"/>
      <c r="Z5" s="28"/>
      <c r="AA5" s="28"/>
      <c r="AB5" s="28"/>
      <c r="AC5" s="28"/>
      <c r="AD5" s="28"/>
    </row>
    <row r="6" spans="2:49" s="3" customFormat="1" ht="20" customHeight="1">
      <c r="B6" s="26" t="s">
        <v>3</v>
      </c>
      <c r="C6" s="26"/>
      <c r="D6" s="26"/>
      <c r="E6" s="28" t="s">
        <v>57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6" t="s">
        <v>9</v>
      </c>
      <c r="R6" s="26"/>
      <c r="S6" s="26"/>
      <c r="T6" s="26"/>
      <c r="U6" s="26"/>
      <c r="V6" s="28" t="s">
        <v>56</v>
      </c>
      <c r="W6" s="28"/>
      <c r="X6" s="28"/>
      <c r="Y6" s="28"/>
      <c r="Z6" s="28"/>
      <c r="AA6" s="28"/>
      <c r="AB6" s="28"/>
      <c r="AC6" s="28"/>
      <c r="AD6" s="28"/>
    </row>
    <row r="7" spans="2:49" s="3" customFormat="1" ht="57" customHeight="1">
      <c r="B7" s="26" t="s">
        <v>4</v>
      </c>
      <c r="C7" s="26"/>
      <c r="D7" s="26"/>
      <c r="E7" s="37" t="s">
        <v>62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9"/>
      <c r="AF7" s="14"/>
    </row>
    <row r="8" spans="2:49" ht="9" customHeight="1"/>
    <row r="9" spans="2:49" ht="20" customHeight="1">
      <c r="B9" s="40" t="s">
        <v>13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2:49" ht="20" customHeight="1">
      <c r="B10" s="26" t="s">
        <v>63</v>
      </c>
      <c r="C10" s="26"/>
      <c r="D10" s="26"/>
      <c r="E10" s="28" t="s">
        <v>55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2:49" ht="20" customHeight="1">
      <c r="B11" s="31" t="s">
        <v>16</v>
      </c>
      <c r="C11" s="32"/>
      <c r="D11" s="33"/>
      <c r="E11" s="28" t="s">
        <v>58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2:49" ht="20" customHeight="1">
      <c r="B12" s="34"/>
      <c r="C12" s="35"/>
      <c r="D12" s="36"/>
      <c r="E12" s="28" t="s">
        <v>66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W12" s="2"/>
    </row>
    <row r="13" spans="2:49" s="3" customFormat="1" ht="20" customHeight="1">
      <c r="B13" s="13" t="s">
        <v>17</v>
      </c>
      <c r="C13" s="43" t="s">
        <v>18</v>
      </c>
      <c r="D13" s="43"/>
      <c r="E13" s="43"/>
      <c r="F13" s="43"/>
      <c r="G13" s="43"/>
      <c r="H13" s="43"/>
      <c r="I13" s="43"/>
      <c r="J13" s="43"/>
      <c r="K13" s="43" t="s">
        <v>19</v>
      </c>
      <c r="L13" s="43"/>
      <c r="M13" s="43" t="s">
        <v>20</v>
      </c>
      <c r="N13" s="43"/>
      <c r="O13" s="43"/>
      <c r="P13" s="43" t="s">
        <v>24</v>
      </c>
      <c r="Q13" s="43"/>
      <c r="R13" s="43"/>
      <c r="S13" s="43" t="s">
        <v>21</v>
      </c>
      <c r="T13" s="43"/>
      <c r="U13" s="43" t="s">
        <v>25</v>
      </c>
      <c r="V13" s="43"/>
      <c r="W13" s="43"/>
      <c r="X13" s="43"/>
      <c r="Y13" s="43"/>
      <c r="Z13" s="43" t="s">
        <v>22</v>
      </c>
      <c r="AA13" s="43"/>
      <c r="AB13" s="43"/>
      <c r="AC13" s="43"/>
      <c r="AD13" s="43"/>
    </row>
    <row r="14" spans="2:49" s="3" customFormat="1" ht="30" customHeight="1">
      <c r="B14" s="58">
        <v>1</v>
      </c>
      <c r="C14" s="44" t="s">
        <v>64</v>
      </c>
      <c r="D14" s="44"/>
      <c r="E14" s="44"/>
      <c r="F14" s="44"/>
      <c r="G14" s="44"/>
      <c r="H14" s="44"/>
      <c r="I14" s="44"/>
      <c r="J14" s="44"/>
      <c r="K14" s="45" t="s">
        <v>28</v>
      </c>
      <c r="L14" s="45"/>
      <c r="M14" s="15">
        <v>4</v>
      </c>
      <c r="N14" s="9" t="s">
        <v>23</v>
      </c>
      <c r="O14" s="16">
        <v>5</v>
      </c>
      <c r="P14" s="10">
        <v>45809</v>
      </c>
      <c r="Q14" s="9" t="str">
        <f>IF(R14="","","～")</f>
        <v>～</v>
      </c>
      <c r="R14" s="11">
        <v>45991</v>
      </c>
      <c r="S14" s="46" t="s">
        <v>15</v>
      </c>
      <c r="T14" s="46"/>
      <c r="U14" s="47" t="s">
        <v>71</v>
      </c>
      <c r="V14" s="48"/>
      <c r="W14" s="48"/>
      <c r="X14" s="48"/>
      <c r="Y14" s="49"/>
      <c r="Z14" s="47" t="s">
        <v>72</v>
      </c>
      <c r="AA14" s="48"/>
      <c r="AB14" s="48"/>
      <c r="AC14" s="48"/>
      <c r="AD14" s="49"/>
      <c r="AF14" s="17">
        <f>IF(P14&lt;&gt;"",P14,"")</f>
        <v>45809</v>
      </c>
      <c r="AG14" s="18"/>
      <c r="AH14" s="17">
        <f>IF(R14&lt;&gt;"",R14,"")</f>
        <v>45991</v>
      </c>
      <c r="AI14" s="19">
        <f>IF(AH14&lt;&gt;"",DATEDIF(AF14,AH14,"M")+1,"")</f>
        <v>6</v>
      </c>
      <c r="AJ14" s="20">
        <f>IF(AI14&lt;&gt;"",ROUNDDOWN(AI14/12,0),"")</f>
        <v>0</v>
      </c>
      <c r="AK14" s="19">
        <f>IF(AI14&lt;&gt;"",AI14-AJ14*12,"")</f>
        <v>6</v>
      </c>
    </row>
    <row r="15" spans="2:49" s="3" customFormat="1" ht="108" customHeight="1">
      <c r="B15" s="59"/>
      <c r="C15" s="53" t="s">
        <v>73</v>
      </c>
      <c r="D15" s="54"/>
      <c r="E15" s="54"/>
      <c r="F15" s="54"/>
      <c r="G15" s="54"/>
      <c r="H15" s="54"/>
      <c r="I15" s="54"/>
      <c r="J15" s="54"/>
      <c r="K15" s="43"/>
      <c r="L15" s="43"/>
      <c r="M15" s="34"/>
      <c r="N15" s="35"/>
      <c r="O15" s="36"/>
      <c r="P15" s="55" t="str">
        <f>IF(AJ14=0,AI14&amp;"ヶ月",AJ14&amp;"年"&amp;AK14&amp;"ヶ月" )</f>
        <v>6ヶ月</v>
      </c>
      <c r="Q15" s="56"/>
      <c r="R15" s="57"/>
      <c r="S15" s="54" t="s">
        <v>27</v>
      </c>
      <c r="T15" s="54"/>
      <c r="U15" s="50"/>
      <c r="V15" s="51"/>
      <c r="W15" s="51"/>
      <c r="X15" s="51"/>
      <c r="Y15" s="52"/>
      <c r="Z15" s="50"/>
      <c r="AA15" s="51"/>
      <c r="AB15" s="51"/>
      <c r="AC15" s="51"/>
      <c r="AD15" s="52"/>
    </row>
    <row r="16" spans="2:49" s="3" customFormat="1" ht="30" customHeight="1">
      <c r="B16" s="58">
        <v>2</v>
      </c>
      <c r="C16" s="44" t="s">
        <v>67</v>
      </c>
      <c r="D16" s="44"/>
      <c r="E16" s="44"/>
      <c r="F16" s="44"/>
      <c r="G16" s="44"/>
      <c r="H16" s="44"/>
      <c r="I16" s="44"/>
      <c r="J16" s="44"/>
      <c r="K16" s="45" t="s">
        <v>28</v>
      </c>
      <c r="L16" s="45"/>
      <c r="M16" s="15">
        <v>1</v>
      </c>
      <c r="N16" s="9" t="s">
        <v>23</v>
      </c>
      <c r="O16" s="16">
        <v>5</v>
      </c>
      <c r="P16" s="10">
        <v>45992</v>
      </c>
      <c r="Q16" s="9" t="str">
        <f>IF(R16="","","～")</f>
        <v>～</v>
      </c>
      <c r="R16" s="11">
        <v>46022</v>
      </c>
      <c r="S16" s="46" t="s">
        <v>15</v>
      </c>
      <c r="T16" s="46"/>
      <c r="U16" s="47" t="s">
        <v>68</v>
      </c>
      <c r="V16" s="48"/>
      <c r="W16" s="48"/>
      <c r="X16" s="48"/>
      <c r="Y16" s="49"/>
      <c r="Z16" s="47" t="s">
        <v>69</v>
      </c>
      <c r="AA16" s="48"/>
      <c r="AB16" s="48"/>
      <c r="AC16" s="48"/>
      <c r="AD16" s="49"/>
      <c r="AF16" s="17">
        <f>IF(P16&lt;&gt;"",P16,"")</f>
        <v>45992</v>
      </c>
      <c r="AG16" s="18"/>
      <c r="AH16" s="17">
        <f>IF(R16&lt;&gt;"",R16,"")</f>
        <v>46022</v>
      </c>
      <c r="AI16" s="19">
        <f>IF(AH16&lt;&gt;"",DATEDIF(AF16,AH16,"M")+1,"")</f>
        <v>1</v>
      </c>
      <c r="AJ16" s="20">
        <f>IF(AI16&lt;&gt;"",ROUNDDOWN(AI16/12,0),"")</f>
        <v>0</v>
      </c>
      <c r="AK16" s="19">
        <f>IF(AI16&lt;&gt;"",AI16-AJ16*12,"")</f>
        <v>1</v>
      </c>
    </row>
    <row r="17" spans="2:37" s="3" customFormat="1" ht="58" customHeight="1">
      <c r="B17" s="59"/>
      <c r="C17" s="53" t="s">
        <v>70</v>
      </c>
      <c r="D17" s="54"/>
      <c r="E17" s="54"/>
      <c r="F17" s="54"/>
      <c r="G17" s="54"/>
      <c r="H17" s="54"/>
      <c r="I17" s="54"/>
      <c r="J17" s="54"/>
      <c r="K17" s="43"/>
      <c r="L17" s="43"/>
      <c r="M17" s="34"/>
      <c r="N17" s="35"/>
      <c r="O17" s="36"/>
      <c r="P17" s="55" t="str">
        <f>IF(AJ16=0,AI16&amp;"ヶ月",AJ16&amp;"年"&amp;AK16&amp;"ヶ月" )</f>
        <v>1ヶ月</v>
      </c>
      <c r="Q17" s="56"/>
      <c r="R17" s="57"/>
      <c r="S17" s="54" t="s">
        <v>27</v>
      </c>
      <c r="T17" s="54"/>
      <c r="U17" s="50"/>
      <c r="V17" s="51"/>
      <c r="W17" s="51"/>
      <c r="X17" s="51"/>
      <c r="Y17" s="52"/>
      <c r="Z17" s="50"/>
      <c r="AA17" s="51"/>
      <c r="AB17" s="51"/>
      <c r="AC17" s="51"/>
      <c r="AD17" s="52"/>
    </row>
    <row r="18" spans="2:37" s="3" customFormat="1" ht="30" customHeight="1">
      <c r="B18" s="12"/>
      <c r="C18" s="44"/>
      <c r="D18" s="44"/>
      <c r="E18" s="44"/>
      <c r="F18" s="44"/>
      <c r="G18" s="44"/>
      <c r="H18" s="44"/>
      <c r="I18" s="44"/>
      <c r="J18" s="44"/>
      <c r="K18" s="45"/>
      <c r="L18" s="45"/>
      <c r="M18" s="15"/>
      <c r="N18" s="9"/>
      <c r="O18" s="16"/>
      <c r="P18" s="11"/>
      <c r="Q18" s="9"/>
      <c r="R18" s="11"/>
      <c r="S18" s="46"/>
      <c r="T18" s="46"/>
      <c r="U18" s="47"/>
      <c r="V18" s="48"/>
      <c r="W18" s="48"/>
      <c r="X18" s="48"/>
      <c r="Y18" s="49"/>
      <c r="Z18" s="47"/>
      <c r="AA18" s="48"/>
      <c r="AB18" s="48"/>
      <c r="AC18" s="48"/>
      <c r="AD18" s="49"/>
      <c r="AF18" s="17" t="str">
        <f>IF(P18&lt;&gt;"",P18,"")</f>
        <v/>
      </c>
      <c r="AG18" s="18" t="str">
        <f>IF(R18="","","～")</f>
        <v/>
      </c>
      <c r="AH18" s="17" t="str">
        <f>IF(R18&lt;&gt;"",R18,"")</f>
        <v/>
      </c>
      <c r="AI18" s="19" t="str">
        <f>IF(AH18&lt;&gt;"",DATEDIF(AF18,AH18,"M")+1,"")</f>
        <v/>
      </c>
      <c r="AJ18" s="20" t="str">
        <f>IF(AI18&lt;&gt;"",ROUNDDOWN(AI18/12,0),"")</f>
        <v/>
      </c>
      <c r="AK18" s="19" t="str">
        <f>IF(AI18&lt;&gt;"",AI18-AJ18*12,"")</f>
        <v/>
      </c>
    </row>
    <row r="19" spans="2:37" s="3" customFormat="1" ht="48" customHeight="1">
      <c r="B19" s="13"/>
      <c r="C19" s="53"/>
      <c r="D19" s="54"/>
      <c r="E19" s="54"/>
      <c r="F19" s="54"/>
      <c r="G19" s="54"/>
      <c r="H19" s="54"/>
      <c r="I19" s="54"/>
      <c r="J19" s="54"/>
      <c r="K19" s="43"/>
      <c r="L19" s="43"/>
      <c r="M19" s="34"/>
      <c r="N19" s="35"/>
      <c r="O19" s="36"/>
      <c r="P19" s="55"/>
      <c r="Q19" s="56"/>
      <c r="R19" s="57"/>
      <c r="S19" s="54"/>
      <c r="T19" s="54"/>
      <c r="U19" s="50"/>
      <c r="V19" s="51"/>
      <c r="W19" s="51"/>
      <c r="X19" s="51"/>
      <c r="Y19" s="52"/>
      <c r="Z19" s="50"/>
      <c r="AA19" s="51"/>
      <c r="AB19" s="51"/>
      <c r="AC19" s="51"/>
      <c r="AD19" s="52"/>
    </row>
    <row r="20" spans="2:37" s="3" customFormat="1" ht="30" customHeight="1">
      <c r="B20" s="12"/>
      <c r="C20" s="44"/>
      <c r="D20" s="44"/>
      <c r="E20" s="44"/>
      <c r="F20" s="44"/>
      <c r="G20" s="44"/>
      <c r="H20" s="44"/>
      <c r="I20" s="44"/>
      <c r="J20" s="44"/>
      <c r="K20" s="45"/>
      <c r="L20" s="45"/>
      <c r="M20" s="15"/>
      <c r="N20" s="9"/>
      <c r="O20" s="16"/>
      <c r="P20" s="11"/>
      <c r="Q20" s="9"/>
      <c r="R20" s="11"/>
      <c r="S20" s="68"/>
      <c r="T20" s="69"/>
      <c r="U20" s="47"/>
      <c r="V20" s="48"/>
      <c r="W20" s="48"/>
      <c r="X20" s="48"/>
      <c r="Y20" s="49"/>
      <c r="Z20" s="47"/>
      <c r="AA20" s="48"/>
      <c r="AB20" s="48"/>
      <c r="AC20" s="48"/>
      <c r="AD20" s="49"/>
      <c r="AF20" s="17" t="str">
        <f>IF(P20&lt;&gt;"",P20,"")</f>
        <v/>
      </c>
      <c r="AG20" s="18" t="str">
        <f>IF(R20="","","～")</f>
        <v/>
      </c>
      <c r="AH20" s="17" t="str">
        <f>IF(R20&lt;&gt;"",R20,"")</f>
        <v/>
      </c>
      <c r="AI20" s="19" t="str">
        <f>IF(AH20&lt;&gt;"",DATEDIF(AF20,AH20,"M")+1,"")</f>
        <v/>
      </c>
      <c r="AJ20" s="20" t="str">
        <f>IF(AI20&lt;&gt;"",ROUNDDOWN(AI20/12,0),"")</f>
        <v/>
      </c>
      <c r="AK20" s="19" t="str">
        <f>IF(AI20&lt;&gt;"",AI20-AJ20*12,"")</f>
        <v/>
      </c>
    </row>
    <row r="21" spans="2:37" s="3" customFormat="1" ht="48" customHeight="1">
      <c r="B21" s="13"/>
      <c r="C21" s="53"/>
      <c r="D21" s="54"/>
      <c r="E21" s="54"/>
      <c r="F21" s="54"/>
      <c r="G21" s="54"/>
      <c r="H21" s="54"/>
      <c r="I21" s="54"/>
      <c r="J21" s="54"/>
      <c r="K21" s="60"/>
      <c r="L21" s="61"/>
      <c r="M21" s="60"/>
      <c r="N21" s="62"/>
      <c r="O21" s="61"/>
      <c r="P21" s="63"/>
      <c r="Q21" s="64"/>
      <c r="R21" s="65"/>
      <c r="S21" s="66"/>
      <c r="T21" s="67"/>
      <c r="U21" s="50"/>
      <c r="V21" s="51"/>
      <c r="W21" s="51"/>
      <c r="X21" s="51"/>
      <c r="Y21" s="52"/>
      <c r="Z21" s="50"/>
      <c r="AA21" s="51"/>
      <c r="AB21" s="51"/>
      <c r="AC21" s="51"/>
      <c r="AD21" s="52"/>
    </row>
  </sheetData>
  <mergeCells count="79">
    <mergeCell ref="K14:L14"/>
    <mergeCell ref="S14:T14"/>
    <mergeCell ref="U14:Y15"/>
    <mergeCell ref="Z14:AD15"/>
    <mergeCell ref="C15:J15"/>
    <mergeCell ref="K15:L15"/>
    <mergeCell ref="M15:O15"/>
    <mergeCell ref="P15:R15"/>
    <mergeCell ref="S15:T15"/>
    <mergeCell ref="B16:B17"/>
    <mergeCell ref="B14:B15"/>
    <mergeCell ref="C14:J14"/>
    <mergeCell ref="U20:Y21"/>
    <mergeCell ref="Z20:AD21"/>
    <mergeCell ref="C21:J21"/>
    <mergeCell ref="K21:L21"/>
    <mergeCell ref="M21:O21"/>
    <mergeCell ref="P21:R21"/>
    <mergeCell ref="S21:T21"/>
    <mergeCell ref="C20:J20"/>
    <mergeCell ref="K20:L20"/>
    <mergeCell ref="S20:T20"/>
    <mergeCell ref="C18:J18"/>
    <mergeCell ref="K18:L18"/>
    <mergeCell ref="S18:T18"/>
    <mergeCell ref="U18:Y19"/>
    <mergeCell ref="Z18:AD19"/>
    <mergeCell ref="C19:J19"/>
    <mergeCell ref="K19:L19"/>
    <mergeCell ref="M19:O19"/>
    <mergeCell ref="P19:R19"/>
    <mergeCell ref="S19:T19"/>
    <mergeCell ref="C16:J16"/>
    <mergeCell ref="K16:L16"/>
    <mergeCell ref="S16:T16"/>
    <mergeCell ref="U16:Y17"/>
    <mergeCell ref="Z16:AD17"/>
    <mergeCell ref="C17:J17"/>
    <mergeCell ref="K17:L17"/>
    <mergeCell ref="M17:O17"/>
    <mergeCell ref="P17:R17"/>
    <mergeCell ref="S17:T17"/>
    <mergeCell ref="Z13:AD13"/>
    <mergeCell ref="C13:J13"/>
    <mergeCell ref="K13:L13"/>
    <mergeCell ref="M13:O13"/>
    <mergeCell ref="P13:R13"/>
    <mergeCell ref="S13:T13"/>
    <mergeCell ref="U13:Y13"/>
    <mergeCell ref="B11:D12"/>
    <mergeCell ref="E11:AD11"/>
    <mergeCell ref="E12:AD12"/>
    <mergeCell ref="B5:D5"/>
    <mergeCell ref="E5:P5"/>
    <mergeCell ref="Q5:U5"/>
    <mergeCell ref="V5:AD5"/>
    <mergeCell ref="B6:D6"/>
    <mergeCell ref="E6:P6"/>
    <mergeCell ref="Q6:U6"/>
    <mergeCell ref="V6:AD6"/>
    <mergeCell ref="B7:D7"/>
    <mergeCell ref="E7:AD7"/>
    <mergeCell ref="B9:AD9"/>
    <mergeCell ref="B10:D10"/>
    <mergeCell ref="E10:AD10"/>
    <mergeCell ref="Y4:AD4"/>
    <mergeCell ref="B1:AD1"/>
    <mergeCell ref="B2:AD2"/>
    <mergeCell ref="B3:D3"/>
    <mergeCell ref="E3:M3"/>
    <mergeCell ref="N3:P3"/>
    <mergeCell ref="Q3:U3"/>
    <mergeCell ref="V3:X3"/>
    <mergeCell ref="Y3:AD3"/>
    <mergeCell ref="B4:D4"/>
    <mergeCell ref="E4:M4"/>
    <mergeCell ref="N4:P4"/>
    <mergeCell ref="Q4:U4"/>
    <mergeCell ref="V4:X4"/>
  </mergeCells>
  <phoneticPr fontId="10" type="noConversion"/>
  <printOptions horizontalCentered="1"/>
  <pageMargins left="0.23622047244094491" right="0.23622047244094491" top="0.39370078740157483" bottom="0.23622047244094491" header="0.23622047244094491" footer="0.23622047244094491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F486-73E5-2144-B4E0-E7E72A5134E0}">
  <sheetPr>
    <pageSetUpPr fitToPage="1"/>
  </sheetPr>
  <dimension ref="B1:AW29"/>
  <sheetViews>
    <sheetView topLeftCell="B1" zoomScale="90" zoomScaleNormal="90" workbookViewId="0">
      <selection activeCell="AL9" sqref="AL9"/>
    </sheetView>
  </sheetViews>
  <sheetFormatPr baseColWidth="10" defaultColWidth="3.7109375" defaultRowHeight="18"/>
  <cols>
    <col min="1" max="1" width="0.85546875" style="1" customWidth="1"/>
    <col min="2" max="2" width="3.7109375" style="1" customWidth="1"/>
    <col min="3" max="10" width="3.7109375" style="1"/>
    <col min="11" max="11" width="3.7109375" style="1" customWidth="1"/>
    <col min="12" max="12" width="3.7109375" style="1"/>
    <col min="13" max="13" width="3.85546875" style="1" bestFit="1" customWidth="1"/>
    <col min="14" max="14" width="3.7109375" style="1"/>
    <col min="15" max="15" width="3" style="1" customWidth="1"/>
    <col min="16" max="16" width="6.7109375" style="1" customWidth="1"/>
    <col min="17" max="17" width="3.28515625" style="1" customWidth="1"/>
    <col min="18" max="18" width="6.7109375" style="1" customWidth="1"/>
    <col min="19" max="31" width="3.7109375" style="1"/>
    <col min="32" max="32" width="7.7109375" style="1" customWidth="1"/>
    <col min="33" max="33" width="5.42578125" style="1" customWidth="1"/>
    <col min="34" max="34" width="8" style="1" customWidth="1"/>
    <col min="35" max="35" width="7" style="1" customWidth="1"/>
    <col min="36" max="36" width="4.140625" style="1" bestFit="1" customWidth="1"/>
    <col min="37" max="37" width="6.140625" style="1" customWidth="1"/>
    <col min="38" max="48" width="3.7109375" style="1"/>
    <col min="49" max="49" width="15.85546875" style="1" bestFit="1" customWidth="1"/>
    <col min="50" max="16384" width="3.7109375" style="1"/>
  </cols>
  <sheetData>
    <row r="1" spans="2:49" ht="28" customHeight="1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2:49">
      <c r="B2" s="25">
        <f ca="1">TODAY()</f>
        <v>46009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2:49" s="3" customFormat="1" ht="20" customHeight="1">
      <c r="B3" s="26" t="s">
        <v>5</v>
      </c>
      <c r="C3" s="26"/>
      <c r="D3" s="26"/>
      <c r="E3" s="70" t="s">
        <v>33</v>
      </c>
      <c r="F3" s="28"/>
      <c r="G3" s="28"/>
      <c r="H3" s="28"/>
      <c r="I3" s="28"/>
      <c r="J3" s="28"/>
      <c r="K3" s="28"/>
      <c r="L3" s="28"/>
      <c r="M3" s="28"/>
      <c r="N3" s="26" t="s">
        <v>1</v>
      </c>
      <c r="O3" s="26"/>
      <c r="P3" s="26"/>
      <c r="Q3" s="29">
        <v>34151</v>
      </c>
      <c r="R3" s="29"/>
      <c r="S3" s="29"/>
      <c r="T3" s="29"/>
      <c r="U3" s="29"/>
      <c r="V3" s="26" t="s">
        <v>10</v>
      </c>
      <c r="W3" s="26"/>
      <c r="X3" s="26"/>
      <c r="Y3" s="26" t="s">
        <v>11</v>
      </c>
      <c r="Z3" s="26"/>
      <c r="AA3" s="26"/>
      <c r="AB3" s="26"/>
      <c r="AC3" s="26"/>
      <c r="AD3" s="26"/>
      <c r="AF3" s="8">
        <f>Q3</f>
        <v>34151</v>
      </c>
    </row>
    <row r="4" spans="2:49" s="3" customFormat="1" ht="20" customHeight="1">
      <c r="B4" s="26" t="s">
        <v>6</v>
      </c>
      <c r="C4" s="26"/>
      <c r="D4" s="26"/>
      <c r="E4" s="70" t="s">
        <v>34</v>
      </c>
      <c r="F4" s="28"/>
      <c r="G4" s="28"/>
      <c r="H4" s="28"/>
      <c r="I4" s="28"/>
      <c r="J4" s="28"/>
      <c r="K4" s="28"/>
      <c r="L4" s="28"/>
      <c r="M4" s="28"/>
      <c r="N4" s="26" t="s">
        <v>2</v>
      </c>
      <c r="O4" s="26"/>
      <c r="P4" s="26"/>
      <c r="Q4" s="30">
        <f ca="1">DATEDIF(Q3,B2,"Y")</f>
        <v>32</v>
      </c>
      <c r="R4" s="30"/>
      <c r="S4" s="30"/>
      <c r="T4" s="30"/>
      <c r="U4" s="30"/>
      <c r="V4" s="26" t="s">
        <v>12</v>
      </c>
      <c r="W4" s="26"/>
      <c r="X4" s="26"/>
      <c r="Y4" s="21">
        <f ca="1">NOW()-AH4</f>
        <v>1539.8978512731483</v>
      </c>
      <c r="Z4" s="22"/>
      <c r="AA4" s="22"/>
      <c r="AB4" s="22"/>
      <c r="AC4" s="22"/>
      <c r="AD4" s="23"/>
      <c r="AF4" s="14">
        <f ca="1">IF(P26&lt;&gt;"",DATEDIF(P26,B2,"M")+1,"")</f>
        <v>48</v>
      </c>
      <c r="AG4" s="3" t="s">
        <v>26</v>
      </c>
      <c r="AH4" s="8">
        <v>44470</v>
      </c>
    </row>
    <row r="5" spans="2:49" s="3" customFormat="1" ht="20" customHeight="1">
      <c r="B5" s="26" t="s">
        <v>7</v>
      </c>
      <c r="C5" s="26"/>
      <c r="D5" s="26"/>
      <c r="E5" s="28" t="s">
        <v>30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6" t="s">
        <v>8</v>
      </c>
      <c r="R5" s="26"/>
      <c r="S5" s="26"/>
      <c r="T5" s="26"/>
      <c r="U5" s="26"/>
      <c r="V5" s="28" t="s">
        <v>29</v>
      </c>
      <c r="W5" s="28"/>
      <c r="X5" s="28"/>
      <c r="Y5" s="28"/>
      <c r="Z5" s="28"/>
      <c r="AA5" s="28"/>
      <c r="AB5" s="28"/>
      <c r="AC5" s="28"/>
      <c r="AD5" s="28"/>
    </row>
    <row r="6" spans="2:49" s="3" customFormat="1" ht="20" customHeight="1">
      <c r="B6" s="26" t="s">
        <v>3</v>
      </c>
      <c r="C6" s="26"/>
      <c r="D6" s="26"/>
      <c r="E6" s="28" t="s">
        <v>36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6" t="s">
        <v>9</v>
      </c>
      <c r="R6" s="26"/>
      <c r="S6" s="26"/>
      <c r="T6" s="26"/>
      <c r="U6" s="26"/>
      <c r="V6" s="28" t="s">
        <v>35</v>
      </c>
      <c r="W6" s="28"/>
      <c r="X6" s="28"/>
      <c r="Y6" s="28"/>
      <c r="Z6" s="28"/>
      <c r="AA6" s="28"/>
      <c r="AB6" s="28"/>
      <c r="AC6" s="28"/>
      <c r="AD6" s="28"/>
    </row>
    <row r="7" spans="2:49" s="3" customFormat="1" ht="46" customHeight="1">
      <c r="B7" s="26" t="s">
        <v>4</v>
      </c>
      <c r="C7" s="26"/>
      <c r="D7" s="26"/>
      <c r="E7" s="37" t="s">
        <v>37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9"/>
      <c r="AF7" s="14"/>
    </row>
    <row r="8" spans="2:49" ht="9" customHeight="1"/>
    <row r="9" spans="2:49" ht="20" customHeight="1">
      <c r="B9" s="40" t="s">
        <v>13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2:49" ht="20" customHeight="1">
      <c r="B10" s="26" t="s">
        <v>14</v>
      </c>
      <c r="C10" s="26"/>
      <c r="D10" s="26"/>
      <c r="E10" s="28" t="s">
        <v>38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2:49" ht="20" customHeight="1">
      <c r="B11" s="31" t="s">
        <v>16</v>
      </c>
      <c r="C11" s="32"/>
      <c r="D11" s="33"/>
      <c r="E11" s="28" t="s">
        <v>39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2:49" ht="20" customHeight="1">
      <c r="B12" s="34"/>
      <c r="C12" s="35"/>
      <c r="D12" s="36"/>
      <c r="E12" s="28" t="s">
        <v>40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W12" s="2"/>
    </row>
    <row r="13" spans="2:49" s="3" customFormat="1" ht="20" customHeight="1">
      <c r="B13" s="13" t="s">
        <v>17</v>
      </c>
      <c r="C13" s="43" t="s">
        <v>18</v>
      </c>
      <c r="D13" s="43"/>
      <c r="E13" s="43"/>
      <c r="F13" s="43"/>
      <c r="G13" s="43"/>
      <c r="H13" s="43"/>
      <c r="I13" s="43"/>
      <c r="J13" s="43"/>
      <c r="K13" s="43" t="s">
        <v>19</v>
      </c>
      <c r="L13" s="43"/>
      <c r="M13" s="43" t="s">
        <v>20</v>
      </c>
      <c r="N13" s="43"/>
      <c r="O13" s="43"/>
      <c r="P13" s="43" t="s">
        <v>24</v>
      </c>
      <c r="Q13" s="43"/>
      <c r="R13" s="43"/>
      <c r="S13" s="43" t="s">
        <v>21</v>
      </c>
      <c r="T13" s="43"/>
      <c r="U13" s="43" t="s">
        <v>25</v>
      </c>
      <c r="V13" s="43"/>
      <c r="W13" s="43"/>
      <c r="X13" s="43"/>
      <c r="Y13" s="43"/>
      <c r="Z13" s="43" t="s">
        <v>22</v>
      </c>
      <c r="AA13" s="43"/>
      <c r="AB13" s="43"/>
      <c r="AC13" s="43"/>
      <c r="AD13" s="43"/>
    </row>
    <row r="14" spans="2:49" s="3" customFormat="1" ht="30" customHeight="1">
      <c r="B14" s="12">
        <f>IF(C14="","",B16+1)</f>
        <v>8</v>
      </c>
      <c r="C14" s="44" t="s">
        <v>41</v>
      </c>
      <c r="D14" s="44"/>
      <c r="E14" s="44"/>
      <c r="F14" s="44"/>
      <c r="G14" s="44"/>
      <c r="H14" s="44"/>
      <c r="I14" s="44"/>
      <c r="J14" s="44"/>
      <c r="K14" s="45" t="s">
        <v>28</v>
      </c>
      <c r="L14" s="45"/>
      <c r="M14" s="15">
        <v>3</v>
      </c>
      <c r="N14" s="9" t="s">
        <v>23</v>
      </c>
      <c r="O14" s="16">
        <v>7</v>
      </c>
      <c r="P14" s="10">
        <v>45809</v>
      </c>
      <c r="Q14" s="9" t="str">
        <f>IF(R14="","","～")</f>
        <v>～</v>
      </c>
      <c r="R14" s="11">
        <v>45962</v>
      </c>
      <c r="S14" s="46" t="s">
        <v>15</v>
      </c>
      <c r="T14" s="46"/>
      <c r="U14" s="47" t="s">
        <v>46</v>
      </c>
      <c r="V14" s="48"/>
      <c r="W14" s="48"/>
      <c r="X14" s="48"/>
      <c r="Y14" s="49"/>
      <c r="Z14" s="47" t="s">
        <v>31</v>
      </c>
      <c r="AA14" s="48"/>
      <c r="AB14" s="48"/>
      <c r="AC14" s="48"/>
      <c r="AD14" s="49"/>
      <c r="AF14" s="4">
        <f>IF(P14&lt;&gt;"",P14,"")</f>
        <v>45809</v>
      </c>
      <c r="AG14" s="5" t="str">
        <f>IF(R14="","","～")</f>
        <v>～</v>
      </c>
      <c r="AH14" s="4">
        <f>IF(R14&lt;&gt;"",R14,"")</f>
        <v>45962</v>
      </c>
      <c r="AI14" s="6">
        <f>IF(AH14&lt;&gt;"",DATEDIF(AF14,AH14,"M")+1,"")</f>
        <v>6</v>
      </c>
      <c r="AJ14" s="7">
        <f>IF(AI14&lt;&gt;"",ROUNDDOWN(AI14/12,0),"")</f>
        <v>0</v>
      </c>
      <c r="AK14" s="6">
        <f>IF(AI14&lt;&gt;"",AI14-AJ14*12,"")</f>
        <v>6</v>
      </c>
    </row>
    <row r="15" spans="2:49" s="3" customFormat="1" ht="45" customHeight="1">
      <c r="B15" s="13"/>
      <c r="C15" s="53" t="s">
        <v>48</v>
      </c>
      <c r="D15" s="54"/>
      <c r="E15" s="54"/>
      <c r="F15" s="54"/>
      <c r="G15" s="54"/>
      <c r="H15" s="54"/>
      <c r="I15" s="54"/>
      <c r="J15" s="54"/>
      <c r="K15" s="43"/>
      <c r="L15" s="43"/>
      <c r="M15" s="34"/>
      <c r="N15" s="35"/>
      <c r="O15" s="36"/>
      <c r="P15" s="55" t="str">
        <f>IF(AJ14=0,AI14&amp;"ヶ月",AJ14&amp;"年"&amp;AK14&amp;"ヶ月" )</f>
        <v>6ヶ月</v>
      </c>
      <c r="Q15" s="56"/>
      <c r="R15" s="57"/>
      <c r="S15" s="54" t="s">
        <v>27</v>
      </c>
      <c r="T15" s="54"/>
      <c r="U15" s="50"/>
      <c r="V15" s="51"/>
      <c r="W15" s="51"/>
      <c r="X15" s="51"/>
      <c r="Y15" s="52"/>
      <c r="Z15" s="50"/>
      <c r="AA15" s="51"/>
      <c r="AB15" s="51"/>
      <c r="AC15" s="51"/>
      <c r="AD15" s="52"/>
    </row>
    <row r="16" spans="2:49" s="3" customFormat="1" ht="30" customHeight="1">
      <c r="B16" s="12">
        <f>IF(C16="","",B18+1)</f>
        <v>7</v>
      </c>
      <c r="C16" s="44" t="s">
        <v>49</v>
      </c>
      <c r="D16" s="44"/>
      <c r="E16" s="44"/>
      <c r="F16" s="44"/>
      <c r="G16" s="44"/>
      <c r="H16" s="44"/>
      <c r="I16" s="44"/>
      <c r="J16" s="44"/>
      <c r="K16" s="45" t="s">
        <v>28</v>
      </c>
      <c r="L16" s="45"/>
      <c r="M16" s="15">
        <v>4</v>
      </c>
      <c r="N16" s="9" t="s">
        <v>23</v>
      </c>
      <c r="O16" s="16">
        <v>4</v>
      </c>
      <c r="P16" s="10">
        <v>45292</v>
      </c>
      <c r="Q16" s="9" t="str">
        <f>IF(R16="","","～")</f>
        <v>～</v>
      </c>
      <c r="R16" s="11">
        <v>45807</v>
      </c>
      <c r="S16" s="46" t="s">
        <v>15</v>
      </c>
      <c r="T16" s="46"/>
      <c r="U16" s="47" t="s">
        <v>47</v>
      </c>
      <c r="V16" s="48"/>
      <c r="W16" s="48"/>
      <c r="X16" s="48"/>
      <c r="Y16" s="49"/>
      <c r="Z16" s="47" t="s">
        <v>32</v>
      </c>
      <c r="AA16" s="48"/>
      <c r="AB16" s="48"/>
      <c r="AC16" s="48"/>
      <c r="AD16" s="49"/>
      <c r="AF16" s="4">
        <f>IF(P16&lt;&gt;"",P16,"")</f>
        <v>45292</v>
      </c>
      <c r="AG16" s="5" t="str">
        <f>IF(R16="","","～")</f>
        <v>～</v>
      </c>
      <c r="AH16" s="4">
        <f>IF(R16&lt;&gt;"",R16,"")</f>
        <v>45807</v>
      </c>
      <c r="AI16" s="6">
        <f>IF(AH16&lt;&gt;"",DATEDIF(AF16,AH16,"M")+1,"")</f>
        <v>17</v>
      </c>
      <c r="AJ16" s="7">
        <f>IF(AI16&lt;&gt;"",ROUNDDOWN(AI16/12,0),"")</f>
        <v>1</v>
      </c>
      <c r="AK16" s="6">
        <f>IF(AI16&lt;&gt;"",AI16-AJ16*12,"")</f>
        <v>5</v>
      </c>
    </row>
    <row r="17" spans="2:37" s="3" customFormat="1" ht="45" customHeight="1">
      <c r="B17" s="13"/>
      <c r="C17" s="53" t="s">
        <v>50</v>
      </c>
      <c r="D17" s="54"/>
      <c r="E17" s="54"/>
      <c r="F17" s="54"/>
      <c r="G17" s="54"/>
      <c r="H17" s="54"/>
      <c r="I17" s="54"/>
      <c r="J17" s="54"/>
      <c r="K17" s="43"/>
      <c r="L17" s="43"/>
      <c r="M17" s="34"/>
      <c r="N17" s="35"/>
      <c r="O17" s="36"/>
      <c r="P17" s="55" t="str">
        <f>IF(AJ16=0,AI16&amp;"ヶ月",AJ16&amp;"年"&amp;AK16&amp;"ヶ月" )</f>
        <v>1年5ヶ月</v>
      </c>
      <c r="Q17" s="56"/>
      <c r="R17" s="57"/>
      <c r="S17" s="54" t="s">
        <v>27</v>
      </c>
      <c r="T17" s="54"/>
      <c r="U17" s="50"/>
      <c r="V17" s="51"/>
      <c r="W17" s="51"/>
      <c r="X17" s="51"/>
      <c r="Y17" s="52"/>
      <c r="Z17" s="50"/>
      <c r="AA17" s="51"/>
      <c r="AB17" s="51"/>
      <c r="AC17" s="51"/>
      <c r="AD17" s="52"/>
    </row>
    <row r="18" spans="2:37" s="3" customFormat="1" ht="30" customHeight="1">
      <c r="B18" s="12">
        <f>IF(C18="","",B20+1)</f>
        <v>6</v>
      </c>
      <c r="C18" s="44" t="s">
        <v>41</v>
      </c>
      <c r="D18" s="44"/>
      <c r="E18" s="44"/>
      <c r="F18" s="44"/>
      <c r="G18" s="44"/>
      <c r="H18" s="44"/>
      <c r="I18" s="44"/>
      <c r="J18" s="44"/>
      <c r="K18" s="45" t="s">
        <v>28</v>
      </c>
      <c r="L18" s="45"/>
      <c r="M18" s="15">
        <v>1</v>
      </c>
      <c r="N18" s="9" t="s">
        <v>23</v>
      </c>
      <c r="O18" s="16">
        <v>2</v>
      </c>
      <c r="P18" s="10">
        <v>44986</v>
      </c>
      <c r="Q18" s="9" t="str">
        <f>IF(R18="","","～")</f>
        <v>～</v>
      </c>
      <c r="R18" s="11">
        <v>45137</v>
      </c>
      <c r="S18" s="46" t="s">
        <v>15</v>
      </c>
      <c r="T18" s="46"/>
      <c r="U18" s="47" t="s">
        <v>46</v>
      </c>
      <c r="V18" s="48"/>
      <c r="W18" s="48"/>
      <c r="X18" s="48"/>
      <c r="Y18" s="49"/>
      <c r="Z18" s="47" t="s">
        <v>44</v>
      </c>
      <c r="AA18" s="48"/>
      <c r="AB18" s="48"/>
      <c r="AC18" s="48"/>
      <c r="AD18" s="49"/>
      <c r="AF18" s="4">
        <f>IF(P18&lt;&gt;"",P18,"")</f>
        <v>44986</v>
      </c>
      <c r="AG18" s="5" t="str">
        <f>IF(R18="","","～")</f>
        <v>～</v>
      </c>
      <c r="AH18" s="4">
        <f>IF(R18&lt;&gt;"",R18,"")</f>
        <v>45137</v>
      </c>
      <c r="AI18" s="6">
        <f>IF(AH18&lt;&gt;"",DATEDIF(AF18,AH18,"M")+1,"")</f>
        <v>5</v>
      </c>
      <c r="AJ18" s="7">
        <f>IF(AI18&lt;&gt;"",ROUNDDOWN(AI18/12,0),"")</f>
        <v>0</v>
      </c>
      <c r="AK18" s="6">
        <f>IF(AI18&lt;&gt;"",AI18-AJ18*12,"")</f>
        <v>5</v>
      </c>
    </row>
    <row r="19" spans="2:37" s="3" customFormat="1" ht="45" customHeight="1">
      <c r="B19" s="13"/>
      <c r="C19" s="53" t="s">
        <v>51</v>
      </c>
      <c r="D19" s="54"/>
      <c r="E19" s="54"/>
      <c r="F19" s="54"/>
      <c r="G19" s="54"/>
      <c r="H19" s="54"/>
      <c r="I19" s="54"/>
      <c r="J19" s="54"/>
      <c r="K19" s="43"/>
      <c r="L19" s="43"/>
      <c r="M19" s="34"/>
      <c r="N19" s="35"/>
      <c r="O19" s="36"/>
      <c r="P19" s="55" t="str">
        <f>IF(AJ18=0,AI18&amp;"ヶ月",AJ18&amp;"年"&amp;AK18&amp;"ヶ月" )</f>
        <v>5ヶ月</v>
      </c>
      <c r="Q19" s="56"/>
      <c r="R19" s="57"/>
      <c r="S19" s="54" t="s">
        <v>27</v>
      </c>
      <c r="T19" s="54"/>
      <c r="U19" s="50"/>
      <c r="V19" s="51"/>
      <c r="W19" s="51"/>
      <c r="X19" s="51"/>
      <c r="Y19" s="52"/>
      <c r="Z19" s="50"/>
      <c r="AA19" s="51"/>
      <c r="AB19" s="51"/>
      <c r="AC19" s="51"/>
      <c r="AD19" s="52"/>
    </row>
    <row r="20" spans="2:37" s="3" customFormat="1" ht="30" customHeight="1">
      <c r="B20" s="12">
        <f>IF(C20="","",B22+1)</f>
        <v>5</v>
      </c>
      <c r="C20" s="44" t="s">
        <v>41</v>
      </c>
      <c r="D20" s="44"/>
      <c r="E20" s="44"/>
      <c r="F20" s="44"/>
      <c r="G20" s="44"/>
      <c r="H20" s="44"/>
      <c r="I20" s="44"/>
      <c r="J20" s="44"/>
      <c r="K20" s="45" t="s">
        <v>28</v>
      </c>
      <c r="L20" s="45"/>
      <c r="M20" s="15">
        <v>1</v>
      </c>
      <c r="N20" s="9" t="s">
        <v>23</v>
      </c>
      <c r="O20" s="16">
        <v>2</v>
      </c>
      <c r="P20" s="10">
        <v>44866</v>
      </c>
      <c r="Q20" s="9" t="str">
        <f>IF(R20="","","～")</f>
        <v>～</v>
      </c>
      <c r="R20" s="11">
        <v>45046</v>
      </c>
      <c r="S20" s="46" t="s">
        <v>15</v>
      </c>
      <c r="T20" s="46"/>
      <c r="U20" s="47" t="s">
        <v>46</v>
      </c>
      <c r="V20" s="48"/>
      <c r="W20" s="48"/>
      <c r="X20" s="48"/>
      <c r="Y20" s="49"/>
      <c r="Z20" s="47" t="s">
        <v>44</v>
      </c>
      <c r="AA20" s="48"/>
      <c r="AB20" s="48"/>
      <c r="AC20" s="48"/>
      <c r="AD20" s="49"/>
      <c r="AF20" s="4">
        <f>IF(P20&lt;&gt;"",P20,"")</f>
        <v>44866</v>
      </c>
      <c r="AG20" s="5" t="str">
        <f>IF(R20="","","～")</f>
        <v>～</v>
      </c>
      <c r="AH20" s="4">
        <f>IF(R20&lt;&gt;"",R20,"")</f>
        <v>45046</v>
      </c>
      <c r="AI20" s="6">
        <f>IF(AH20&lt;&gt;"",DATEDIF(AF20,AH20,"M")+1,"")</f>
        <v>6</v>
      </c>
      <c r="AJ20" s="7">
        <f>IF(AI20&lt;&gt;"",ROUNDDOWN(AI20/12,0),"")</f>
        <v>0</v>
      </c>
      <c r="AK20" s="6">
        <f>IF(AI20&lt;&gt;"",AI20-AJ20*12,"")</f>
        <v>6</v>
      </c>
    </row>
    <row r="21" spans="2:37" s="3" customFormat="1" ht="45" customHeight="1">
      <c r="B21" s="13"/>
      <c r="C21" s="53" t="s">
        <v>51</v>
      </c>
      <c r="D21" s="54"/>
      <c r="E21" s="54"/>
      <c r="F21" s="54"/>
      <c r="G21" s="54"/>
      <c r="H21" s="54"/>
      <c r="I21" s="54"/>
      <c r="J21" s="54"/>
      <c r="K21" s="43"/>
      <c r="L21" s="43"/>
      <c r="M21" s="34"/>
      <c r="N21" s="35"/>
      <c r="O21" s="36"/>
      <c r="P21" s="55" t="str">
        <f>IF(AJ20=0,AI20&amp;"ヶ月",AJ20&amp;"年"&amp;AK20&amp;"ヶ月" )</f>
        <v>6ヶ月</v>
      </c>
      <c r="Q21" s="56"/>
      <c r="R21" s="57"/>
      <c r="S21" s="54" t="s">
        <v>27</v>
      </c>
      <c r="T21" s="54"/>
      <c r="U21" s="50"/>
      <c r="V21" s="51"/>
      <c r="W21" s="51"/>
      <c r="X21" s="51"/>
      <c r="Y21" s="52"/>
      <c r="Z21" s="50"/>
      <c r="AA21" s="51"/>
      <c r="AB21" s="51"/>
      <c r="AC21" s="51"/>
      <c r="AD21" s="52"/>
    </row>
    <row r="22" spans="2:37" s="3" customFormat="1" ht="30" customHeight="1">
      <c r="B22" s="12">
        <f>IF(C22="","",B24+1)</f>
        <v>4</v>
      </c>
      <c r="C22" s="44" t="s">
        <v>41</v>
      </c>
      <c r="D22" s="44"/>
      <c r="E22" s="44"/>
      <c r="F22" s="44"/>
      <c r="G22" s="44"/>
      <c r="H22" s="44"/>
      <c r="I22" s="44"/>
      <c r="J22" s="44"/>
      <c r="K22" s="45" t="s">
        <v>54</v>
      </c>
      <c r="L22" s="45"/>
      <c r="M22" s="15">
        <v>2</v>
      </c>
      <c r="N22" s="9" t="s">
        <v>23</v>
      </c>
      <c r="O22" s="16">
        <v>2</v>
      </c>
      <c r="P22" s="10">
        <v>44682</v>
      </c>
      <c r="Q22" s="9" t="str">
        <f>IF(R22="","","～")</f>
        <v>～</v>
      </c>
      <c r="R22" s="11">
        <v>44895</v>
      </c>
      <c r="S22" s="46" t="s">
        <v>15</v>
      </c>
      <c r="T22" s="46"/>
      <c r="U22" s="47" t="s">
        <v>46</v>
      </c>
      <c r="V22" s="48"/>
      <c r="W22" s="48"/>
      <c r="X22" s="48"/>
      <c r="Y22" s="49"/>
      <c r="Z22" s="47" t="s">
        <v>44</v>
      </c>
      <c r="AA22" s="48"/>
      <c r="AB22" s="48"/>
      <c r="AC22" s="48"/>
      <c r="AD22" s="49"/>
      <c r="AF22" s="4">
        <f>IF(P22&lt;&gt;"",P22,"")</f>
        <v>44682</v>
      </c>
      <c r="AG22" s="5" t="str">
        <f>IF(R22="","","～")</f>
        <v>～</v>
      </c>
      <c r="AH22" s="4">
        <f>IF(R22&lt;&gt;"",R22,"")</f>
        <v>44895</v>
      </c>
      <c r="AI22" s="6">
        <f>IF(AH22&lt;&gt;"",DATEDIF(AF22,AH22,"M")+1,"")</f>
        <v>7</v>
      </c>
      <c r="AJ22" s="7">
        <f>IF(AI22&lt;&gt;"",ROUNDDOWN(AI22/12,0),"")</f>
        <v>0</v>
      </c>
      <c r="AK22" s="6">
        <f>IF(AI22&lt;&gt;"",AI22-AJ22*12,"")</f>
        <v>7</v>
      </c>
    </row>
    <row r="23" spans="2:37" s="3" customFormat="1" ht="45" customHeight="1">
      <c r="B23" s="13"/>
      <c r="C23" s="53" t="s">
        <v>51</v>
      </c>
      <c r="D23" s="54"/>
      <c r="E23" s="54"/>
      <c r="F23" s="54"/>
      <c r="G23" s="54"/>
      <c r="H23" s="54"/>
      <c r="I23" s="54"/>
      <c r="J23" s="54"/>
      <c r="K23" s="60"/>
      <c r="L23" s="61"/>
      <c r="M23" s="34"/>
      <c r="N23" s="35"/>
      <c r="O23" s="36"/>
      <c r="P23" s="55" t="str">
        <f>IF(AJ22=0,AI22&amp;"ヶ月",AJ22&amp;"年"&amp;AK22&amp;"ヶ月" )</f>
        <v>7ヶ月</v>
      </c>
      <c r="Q23" s="56"/>
      <c r="R23" s="57"/>
      <c r="S23" s="54" t="s">
        <v>27</v>
      </c>
      <c r="T23" s="54"/>
      <c r="U23" s="50"/>
      <c r="V23" s="51"/>
      <c r="W23" s="51"/>
      <c r="X23" s="51"/>
      <c r="Y23" s="52"/>
      <c r="Z23" s="50"/>
      <c r="AA23" s="51"/>
      <c r="AB23" s="51"/>
      <c r="AC23" s="51"/>
      <c r="AD23" s="52"/>
    </row>
    <row r="24" spans="2:37" s="3" customFormat="1" ht="30" customHeight="1">
      <c r="B24" s="12">
        <f>IF(C24="","",B26+1)</f>
        <v>3</v>
      </c>
      <c r="C24" s="44" t="s">
        <v>41</v>
      </c>
      <c r="D24" s="44"/>
      <c r="E24" s="44"/>
      <c r="F24" s="44"/>
      <c r="G24" s="44"/>
      <c r="H24" s="44"/>
      <c r="I24" s="44"/>
      <c r="J24" s="44"/>
      <c r="K24" s="45" t="s">
        <v>28</v>
      </c>
      <c r="L24" s="45"/>
      <c r="M24" s="15">
        <v>2</v>
      </c>
      <c r="N24" s="9" t="s">
        <v>23</v>
      </c>
      <c r="O24" s="16">
        <v>3</v>
      </c>
      <c r="P24" s="11">
        <v>44562</v>
      </c>
      <c r="Q24" s="9" t="str">
        <f>IF(R24="","","～")</f>
        <v>～</v>
      </c>
      <c r="R24" s="11">
        <v>44681</v>
      </c>
      <c r="S24" s="46" t="s">
        <v>15</v>
      </c>
      <c r="T24" s="46"/>
      <c r="U24" s="47" t="s">
        <v>46</v>
      </c>
      <c r="V24" s="48"/>
      <c r="W24" s="48"/>
      <c r="X24" s="48"/>
      <c r="Y24" s="49"/>
      <c r="Z24" s="47" t="s">
        <v>44</v>
      </c>
      <c r="AA24" s="48"/>
      <c r="AB24" s="48"/>
      <c r="AC24" s="48"/>
      <c r="AD24" s="49"/>
      <c r="AF24" s="4">
        <f>IF(P24&lt;&gt;"",P24,"")</f>
        <v>44562</v>
      </c>
      <c r="AG24" s="5" t="str">
        <f>IF(R24="","","～")</f>
        <v>～</v>
      </c>
      <c r="AH24" s="4">
        <f>IF(R24&lt;&gt;"",R24,"")</f>
        <v>44681</v>
      </c>
      <c r="AI24" s="6">
        <f>IF(AH24&lt;&gt;"",DATEDIF(AF24,AH24,"M")+1,"")</f>
        <v>4</v>
      </c>
      <c r="AJ24" s="7">
        <f>IF(AI24&lt;&gt;"",ROUNDDOWN(AI24/12,0),"")</f>
        <v>0</v>
      </c>
      <c r="AK24" s="6">
        <f>IF(AI24&lt;&gt;"",AI24-AJ24*12,"")</f>
        <v>4</v>
      </c>
    </row>
    <row r="25" spans="2:37" s="3" customFormat="1" ht="45" customHeight="1">
      <c r="B25" s="13"/>
      <c r="C25" s="53" t="s">
        <v>53</v>
      </c>
      <c r="D25" s="54"/>
      <c r="E25" s="54"/>
      <c r="F25" s="54"/>
      <c r="G25" s="54"/>
      <c r="H25" s="54"/>
      <c r="I25" s="54"/>
      <c r="J25" s="54"/>
      <c r="K25" s="43"/>
      <c r="L25" s="43"/>
      <c r="M25" s="34"/>
      <c r="N25" s="35"/>
      <c r="O25" s="36"/>
      <c r="P25" s="55" t="str">
        <f>IF(AJ24=0,AI24&amp;"ヶ月",AJ24&amp;"年"&amp;AK24&amp;"ヶ月" )</f>
        <v>4ヶ月</v>
      </c>
      <c r="Q25" s="56"/>
      <c r="R25" s="57"/>
      <c r="S25" s="54" t="s">
        <v>27</v>
      </c>
      <c r="T25" s="54"/>
      <c r="U25" s="50"/>
      <c r="V25" s="51"/>
      <c r="W25" s="51"/>
      <c r="X25" s="51"/>
      <c r="Y25" s="52"/>
      <c r="Z25" s="50"/>
      <c r="AA25" s="51"/>
      <c r="AB25" s="51"/>
      <c r="AC25" s="51"/>
      <c r="AD25" s="52"/>
    </row>
    <row r="26" spans="2:37" s="3" customFormat="1" ht="30" customHeight="1">
      <c r="B26" s="12">
        <f>IF(C26="","",B28+1)</f>
        <v>2</v>
      </c>
      <c r="C26" s="44" t="s">
        <v>41</v>
      </c>
      <c r="D26" s="44"/>
      <c r="E26" s="44"/>
      <c r="F26" s="44"/>
      <c r="G26" s="44"/>
      <c r="H26" s="44"/>
      <c r="I26" s="44"/>
      <c r="J26" s="44"/>
      <c r="K26" s="45" t="s">
        <v>28</v>
      </c>
      <c r="L26" s="45"/>
      <c r="M26" s="15">
        <v>2</v>
      </c>
      <c r="N26" s="9" t="s">
        <v>23</v>
      </c>
      <c r="O26" s="16">
        <v>3</v>
      </c>
      <c r="P26" s="11">
        <v>44562</v>
      </c>
      <c r="Q26" s="9" t="str">
        <f>IF(R26="","","～")</f>
        <v>～</v>
      </c>
      <c r="R26" s="11">
        <v>44711</v>
      </c>
      <c r="S26" s="46" t="s">
        <v>15</v>
      </c>
      <c r="T26" s="46"/>
      <c r="U26" s="47" t="s">
        <v>45</v>
      </c>
      <c r="V26" s="48"/>
      <c r="W26" s="48"/>
      <c r="X26" s="48"/>
      <c r="Y26" s="49"/>
      <c r="Z26" s="47" t="s">
        <v>44</v>
      </c>
      <c r="AA26" s="48"/>
      <c r="AB26" s="48"/>
      <c r="AC26" s="48"/>
      <c r="AD26" s="49"/>
      <c r="AF26" s="4">
        <f>IF(P26&lt;&gt;"",P26,"")</f>
        <v>44562</v>
      </c>
      <c r="AG26" s="5" t="str">
        <f>IF(R26="","","～")</f>
        <v>～</v>
      </c>
      <c r="AH26" s="4">
        <f>IF(R26&lt;&gt;"",R26,"")</f>
        <v>44711</v>
      </c>
      <c r="AI26" s="6">
        <f>IF(AH26&lt;&gt;"",DATEDIF(AF26,AH26,"M")+1,"")</f>
        <v>5</v>
      </c>
      <c r="AJ26" s="7">
        <f>IF(AI26&lt;&gt;"",ROUNDDOWN(AI26/12,0),"")</f>
        <v>0</v>
      </c>
      <c r="AK26" s="6">
        <f>IF(AI26&lt;&gt;"",AI26-AJ26*12,"")</f>
        <v>5</v>
      </c>
    </row>
    <row r="27" spans="2:37" s="3" customFormat="1" ht="48" customHeight="1">
      <c r="B27" s="13"/>
      <c r="C27" s="53" t="s">
        <v>52</v>
      </c>
      <c r="D27" s="54"/>
      <c r="E27" s="54"/>
      <c r="F27" s="54"/>
      <c r="G27" s="54"/>
      <c r="H27" s="54"/>
      <c r="I27" s="54"/>
      <c r="J27" s="54"/>
      <c r="K27" s="43"/>
      <c r="L27" s="43"/>
      <c r="M27" s="34"/>
      <c r="N27" s="35"/>
      <c r="O27" s="36"/>
      <c r="P27" s="55" t="str">
        <f>IF(AJ26=0,AI26&amp;"ヶ月",AJ26&amp;"年"&amp;AK26&amp;"ヶ月" )</f>
        <v>5ヶ月</v>
      </c>
      <c r="Q27" s="56"/>
      <c r="R27" s="57"/>
      <c r="S27" s="54" t="s">
        <v>27</v>
      </c>
      <c r="T27" s="54"/>
      <c r="U27" s="50"/>
      <c r="V27" s="51"/>
      <c r="W27" s="51"/>
      <c r="X27" s="51"/>
      <c r="Y27" s="52"/>
      <c r="Z27" s="50"/>
      <c r="AA27" s="51"/>
      <c r="AB27" s="51"/>
      <c r="AC27" s="51"/>
      <c r="AD27" s="52"/>
    </row>
    <row r="28" spans="2:37" s="3" customFormat="1" ht="30" customHeight="1">
      <c r="B28" s="12">
        <v>1</v>
      </c>
      <c r="C28" s="44" t="s">
        <v>41</v>
      </c>
      <c r="D28" s="44"/>
      <c r="E28" s="44"/>
      <c r="F28" s="44"/>
      <c r="G28" s="44"/>
      <c r="H28" s="44"/>
      <c r="I28" s="44"/>
      <c r="J28" s="44"/>
      <c r="K28" s="45" t="s">
        <v>28</v>
      </c>
      <c r="L28" s="45"/>
      <c r="M28" s="15">
        <v>2</v>
      </c>
      <c r="N28" s="9" t="s">
        <v>23</v>
      </c>
      <c r="O28" s="16">
        <v>3</v>
      </c>
      <c r="P28" s="11">
        <v>44470</v>
      </c>
      <c r="Q28" s="9" t="str">
        <f>IF(R28="","","～")</f>
        <v>～</v>
      </c>
      <c r="R28" s="11">
        <v>44592</v>
      </c>
      <c r="S28" s="68" t="s">
        <v>15</v>
      </c>
      <c r="T28" s="69"/>
      <c r="U28" s="47" t="s">
        <v>43</v>
      </c>
      <c r="V28" s="48"/>
      <c r="W28" s="48"/>
      <c r="X28" s="48"/>
      <c r="Y28" s="49"/>
      <c r="Z28" s="47" t="s">
        <v>44</v>
      </c>
      <c r="AA28" s="48"/>
      <c r="AB28" s="48"/>
      <c r="AC28" s="48"/>
      <c r="AD28" s="49"/>
      <c r="AF28" s="4">
        <f>IF(P28&lt;&gt;"",P28,"")</f>
        <v>44470</v>
      </c>
      <c r="AG28" s="5" t="str">
        <f>IF(R28="","","～")</f>
        <v>～</v>
      </c>
      <c r="AH28" s="4">
        <f>IF(R28&lt;&gt;"",R28,"")</f>
        <v>44592</v>
      </c>
      <c r="AI28" s="6">
        <f>IF(AH28&lt;&gt;"",DATEDIF(AF28,AH28,"M")+1,"")</f>
        <v>4</v>
      </c>
      <c r="AJ28" s="7">
        <f>IF(AI28&lt;&gt;"",ROUNDDOWN(AI28/12,0),"")</f>
        <v>0</v>
      </c>
      <c r="AK28" s="6">
        <f>IF(AI28&lt;&gt;"",AI28-AJ28*12,"")</f>
        <v>4</v>
      </c>
    </row>
    <row r="29" spans="2:37" s="3" customFormat="1" ht="48" customHeight="1">
      <c r="B29" s="13"/>
      <c r="C29" s="53" t="s">
        <v>42</v>
      </c>
      <c r="D29" s="54"/>
      <c r="E29" s="54"/>
      <c r="F29" s="54"/>
      <c r="G29" s="54"/>
      <c r="H29" s="54"/>
      <c r="I29" s="54"/>
      <c r="J29" s="54"/>
      <c r="K29" s="60"/>
      <c r="L29" s="61"/>
      <c r="M29" s="60"/>
      <c r="N29" s="62"/>
      <c r="O29" s="61"/>
      <c r="P29" s="63" t="str">
        <f>IF(AJ28=0,AI28&amp;"ヶ月",AJ28&amp;"年"&amp;AK28&amp;"ヶ月" )</f>
        <v>4ヶ月</v>
      </c>
      <c r="Q29" s="64"/>
      <c r="R29" s="65"/>
      <c r="S29" s="66" t="s">
        <v>27</v>
      </c>
      <c r="T29" s="67"/>
      <c r="U29" s="50"/>
      <c r="V29" s="51"/>
      <c r="W29" s="51"/>
      <c r="X29" s="51"/>
      <c r="Y29" s="52"/>
      <c r="Z29" s="50"/>
      <c r="AA29" s="51"/>
      <c r="AB29" s="51"/>
      <c r="AC29" s="51"/>
      <c r="AD29" s="52"/>
    </row>
  </sheetData>
  <mergeCells count="117">
    <mergeCell ref="S29:T29"/>
    <mergeCell ref="S27:T27"/>
    <mergeCell ref="C28:J28"/>
    <mergeCell ref="K28:L28"/>
    <mergeCell ref="S28:T28"/>
    <mergeCell ref="U28:Y29"/>
    <mergeCell ref="Z28:AD29"/>
    <mergeCell ref="C29:J29"/>
    <mergeCell ref="K29:L29"/>
    <mergeCell ref="M29:O29"/>
    <mergeCell ref="P29:R29"/>
    <mergeCell ref="C26:J26"/>
    <mergeCell ref="K26:L26"/>
    <mergeCell ref="S26:T26"/>
    <mergeCell ref="U26:Y27"/>
    <mergeCell ref="Z26:AD27"/>
    <mergeCell ref="C27:J27"/>
    <mergeCell ref="K27:L27"/>
    <mergeCell ref="M27:O27"/>
    <mergeCell ref="P27:R27"/>
    <mergeCell ref="C24:J24"/>
    <mergeCell ref="K24:L24"/>
    <mergeCell ref="S24:T24"/>
    <mergeCell ref="U24:Y25"/>
    <mergeCell ref="Z24:AD25"/>
    <mergeCell ref="C25:J25"/>
    <mergeCell ref="K25:L25"/>
    <mergeCell ref="M25:O25"/>
    <mergeCell ref="P25:R25"/>
    <mergeCell ref="S25:T25"/>
    <mergeCell ref="C22:J22"/>
    <mergeCell ref="K22:L22"/>
    <mergeCell ref="S22:T22"/>
    <mergeCell ref="U22:Y23"/>
    <mergeCell ref="Z22:AD23"/>
    <mergeCell ref="C23:J23"/>
    <mergeCell ref="K23:L23"/>
    <mergeCell ref="M23:O23"/>
    <mergeCell ref="P23:R23"/>
    <mergeCell ref="S23:T23"/>
    <mergeCell ref="C20:J20"/>
    <mergeCell ref="K20:L20"/>
    <mergeCell ref="S20:T20"/>
    <mergeCell ref="U20:Y21"/>
    <mergeCell ref="Z20:AD21"/>
    <mergeCell ref="C21:J21"/>
    <mergeCell ref="K21:L21"/>
    <mergeCell ref="M21:O21"/>
    <mergeCell ref="P21:R21"/>
    <mergeCell ref="S21:T21"/>
    <mergeCell ref="C18:J18"/>
    <mergeCell ref="K18:L18"/>
    <mergeCell ref="S18:T18"/>
    <mergeCell ref="U18:Y19"/>
    <mergeCell ref="Z18:AD19"/>
    <mergeCell ref="C19:J19"/>
    <mergeCell ref="K19:L19"/>
    <mergeCell ref="M19:O19"/>
    <mergeCell ref="P19:R19"/>
    <mergeCell ref="S19:T19"/>
    <mergeCell ref="C16:J16"/>
    <mergeCell ref="K16:L16"/>
    <mergeCell ref="S16:T16"/>
    <mergeCell ref="U16:Y17"/>
    <mergeCell ref="Z16:AD17"/>
    <mergeCell ref="C17:J17"/>
    <mergeCell ref="K17:L17"/>
    <mergeCell ref="M17:O17"/>
    <mergeCell ref="P17:R17"/>
    <mergeCell ref="S17:T17"/>
    <mergeCell ref="C14:J14"/>
    <mergeCell ref="K14:L14"/>
    <mergeCell ref="S14:T14"/>
    <mergeCell ref="U14:Y15"/>
    <mergeCell ref="Z14:AD15"/>
    <mergeCell ref="C15:J15"/>
    <mergeCell ref="K15:L15"/>
    <mergeCell ref="M15:O15"/>
    <mergeCell ref="P15:R15"/>
    <mergeCell ref="S15:T15"/>
    <mergeCell ref="B5:D5"/>
    <mergeCell ref="E5:P5"/>
    <mergeCell ref="Q5:U5"/>
    <mergeCell ref="V5:AD5"/>
    <mergeCell ref="B6:D6"/>
    <mergeCell ref="E6:P6"/>
    <mergeCell ref="Q6:U6"/>
    <mergeCell ref="V6:AD6"/>
    <mergeCell ref="Z13:AD13"/>
    <mergeCell ref="C13:J13"/>
    <mergeCell ref="K13:L13"/>
    <mergeCell ref="M13:O13"/>
    <mergeCell ref="P13:R13"/>
    <mergeCell ref="S13:T13"/>
    <mergeCell ref="U13:Y13"/>
    <mergeCell ref="B7:D7"/>
    <mergeCell ref="E7:AD7"/>
    <mergeCell ref="B9:AD9"/>
    <mergeCell ref="B10:D10"/>
    <mergeCell ref="E10:AD10"/>
    <mergeCell ref="B11:D12"/>
    <mergeCell ref="E11:AD11"/>
    <mergeCell ref="E12:AD12"/>
    <mergeCell ref="B4:D4"/>
    <mergeCell ref="E4:M4"/>
    <mergeCell ref="N4:P4"/>
    <mergeCell ref="Q4:U4"/>
    <mergeCell ref="V4:X4"/>
    <mergeCell ref="Y4:AD4"/>
    <mergeCell ref="B1:AD1"/>
    <mergeCell ref="B2:AD2"/>
    <mergeCell ref="B3:D3"/>
    <mergeCell ref="E3:M3"/>
    <mergeCell ref="N3:P3"/>
    <mergeCell ref="Q3:U3"/>
    <mergeCell ref="V3:X3"/>
    <mergeCell ref="Y3:AD3"/>
  </mergeCells>
  <phoneticPr fontId="1"/>
  <printOptions horizontalCentered="1"/>
  <pageMargins left="0.23622047244094491" right="0.23622047244094491" top="0.39370078740157483" bottom="0.23622047244094491" header="0.23622047244094491" footer="0.23622047244094491"/>
  <pageSetup paperSize="9" scale="7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202511</vt:lpstr>
      <vt:lpstr>2025원본</vt:lpstr>
      <vt:lpstr>'202511'!Print_Area</vt:lpstr>
      <vt:lpstr>'2025원본'!Print_Area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崔 煕讃</dc:creator>
  <cp:keywords/>
  <dc:description/>
  <cp:lastModifiedBy>정균모</cp:lastModifiedBy>
  <cp:lastPrinted>2025-12-03T01:19:23Z</cp:lastPrinted>
  <dcterms:created xsi:type="dcterms:W3CDTF">2019-11-18T23:00:54Z</dcterms:created>
  <dcterms:modified xsi:type="dcterms:W3CDTF">2025-12-18T12:42:38Z</dcterms:modified>
  <cp:category/>
</cp:coreProperties>
</file>